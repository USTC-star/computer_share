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13_ncr:1_{2C4C8C3C-F526-4A8B-8A39-4828935C5912}" xr6:coauthVersionLast="36" xr6:coauthVersionMax="47" xr10:uidLastSave="{00000000-0000-0000-0000-000000000000}"/>
  <bookViews>
    <workbookView xWindow="-120" yWindow="-120" windowWidth="25440" windowHeight="15396" xr2:uid="{4EF1B334-B9A4-468B-ADB9-1CC422E31F4C}"/>
  </bookViews>
  <sheets>
    <sheet name="Resistor" sheetId="1" r:id="rId1"/>
    <sheet name="Capacitor" sheetId="2" r:id="rId2"/>
    <sheet name="Inductor" sheetId="3" r:id="rId3"/>
    <sheet name="Filter" sheetId="5" r:id="rId4"/>
    <sheet name="VCO" sheetId="6" r:id="rId5"/>
    <sheet name="Mixer" sheetId="8" r:id="rId6"/>
    <sheet name="Amplifier" sheetId="4" r:id="rId7"/>
    <sheet name="Regulator" sheetId="7" r:id="rId8"/>
    <sheet name="Connector" sheetId="10" r:id="rId9"/>
    <sheet name="Multiplier" sheetId="9" r:id="rId10"/>
    <sheet name="Switch" sheetId="11" r:id="rId11"/>
    <sheet name="Attenuator" sheetId="12" r:id="rId12"/>
    <sheet name="Other" sheetId="13" r:id="rId13"/>
  </sheets>
  <definedNames>
    <definedName name="_0201">Resistor!$M$3</definedName>
    <definedName name="_xlnm._FilterDatabase" localSheetId="0" hidden="1">Resistor!$A$3:$E$85</definedName>
    <definedName name="daass" comment="sdas" localSheetId="0">Resistor!$M$3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2" i="2" l="1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I18" i="1" l="1"/>
  <c r="I12" i="1"/>
  <c r="I62" i="1"/>
  <c r="I56" i="1"/>
  <c r="I41" i="1"/>
  <c r="I57" i="1"/>
  <c r="I75" i="1"/>
  <c r="I71" i="1"/>
  <c r="I72" i="1"/>
  <c r="I60" i="1"/>
  <c r="I66" i="1"/>
  <c r="I64" i="1"/>
  <c r="I61" i="1"/>
  <c r="I76" i="1"/>
  <c r="I77" i="1"/>
  <c r="I67" i="1"/>
  <c r="I4" i="1"/>
  <c r="I82" i="1"/>
  <c r="I78" i="1"/>
  <c r="I16" i="1"/>
  <c r="I73" i="1"/>
  <c r="I79" i="1"/>
  <c r="I80" i="1"/>
  <c r="I49" i="1"/>
  <c r="I58" i="1"/>
  <c r="I74" i="1"/>
  <c r="I68" i="1"/>
  <c r="I81" i="1"/>
  <c r="I55" i="1"/>
  <c r="I69" i="1"/>
  <c r="I20" i="1"/>
  <c r="I54" i="1"/>
  <c r="I45" i="1"/>
  <c r="I28" i="1"/>
  <c r="I65" i="1"/>
  <c r="I59" i="1"/>
  <c r="I70" i="1"/>
  <c r="I30" i="1"/>
  <c r="I6" i="1"/>
  <c r="I8" i="1"/>
  <c r="I11" i="1"/>
  <c r="I24" i="1"/>
  <c r="I25" i="1"/>
  <c r="I27" i="1"/>
  <c r="I63" i="1"/>
  <c r="I43" i="1"/>
  <c r="I48" i="1"/>
  <c r="I34" i="1"/>
  <c r="I26" i="1" l="1"/>
  <c r="I5" i="1"/>
  <c r="I10" i="1"/>
  <c r="I7" i="1"/>
  <c r="I47" i="1"/>
  <c r="I42" i="1"/>
  <c r="I83" i="1"/>
  <c r="I44" i="1"/>
  <c r="I29" i="1"/>
  <c r="I46" i="1"/>
  <c r="I23" i="1"/>
  <c r="I53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1" i="1" l="1"/>
  <c r="C112" i="1"/>
  <c r="C113" i="1"/>
  <c r="C114" i="1"/>
  <c r="C115" i="1"/>
  <c r="I33" i="1"/>
  <c r="I3" i="1"/>
  <c r="I40" i="1"/>
  <c r="I15" i="1"/>
  <c r="I22" i="1"/>
  <c r="I51" i="1"/>
  <c r="I9" i="1"/>
  <c r="I17" i="1"/>
  <c r="I21" i="1"/>
  <c r="I52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87" i="1"/>
  <c r="C88" i="1"/>
  <c r="C89" i="1"/>
  <c r="C86" i="1"/>
  <c r="C6" i="1" l="1"/>
  <c r="C19" i="1"/>
  <c r="C45" i="1"/>
  <c r="C27" i="1"/>
  <c r="C20" i="1"/>
  <c r="C26" i="1"/>
  <c r="C8" i="1"/>
  <c r="C7" i="1"/>
  <c r="C24" i="1"/>
  <c r="C78" i="1"/>
  <c r="C83" i="1"/>
  <c r="C80" i="1"/>
  <c r="C63" i="1"/>
  <c r="C5" i="1"/>
  <c r="C23" i="1"/>
  <c r="C30" i="1"/>
  <c r="C34" i="1"/>
  <c r="C28" i="1"/>
  <c r="C10" i="1"/>
  <c r="C14" i="1"/>
  <c r="C18" i="1"/>
  <c r="C74" i="1" l="1"/>
  <c r="C76" i="1"/>
  <c r="C69" i="1"/>
  <c r="C60" i="1"/>
  <c r="C44" i="1"/>
  <c r="C53" i="1"/>
  <c r="C52" i="1"/>
  <c r="C65" i="1"/>
  <c r="C57" i="1"/>
  <c r="C49" i="1"/>
  <c r="C64" i="1"/>
  <c r="C62" i="1"/>
  <c r="C59" i="1"/>
  <c r="C67" i="1"/>
  <c r="C29" i="1"/>
  <c r="C16" i="1"/>
  <c r="C79" i="1"/>
  <c r="C77" i="1"/>
  <c r="C75" i="1"/>
  <c r="C55" i="1"/>
  <c r="C31" i="1"/>
  <c r="C25" i="1"/>
  <c r="C68" i="1"/>
  <c r="C33" i="1"/>
  <c r="C35" i="1"/>
  <c r="C17" i="1"/>
  <c r="C85" i="1" l="1"/>
  <c r="C84" i="1"/>
  <c r="C81" i="1"/>
  <c r="C4" i="1"/>
  <c r="I13" i="1"/>
  <c r="C40" i="1" l="1"/>
  <c r="C41" i="1"/>
  <c r="C42" i="1"/>
  <c r="C39" i="1"/>
  <c r="C38" i="1"/>
  <c r="C37" i="1"/>
  <c r="C36" i="1"/>
  <c r="C32" i="1"/>
  <c r="C22" i="1"/>
  <c r="C21" i="1"/>
  <c r="C15" i="1"/>
  <c r="C13" i="1"/>
  <c r="C12" i="1"/>
  <c r="C11" i="1"/>
  <c r="C9" i="1"/>
  <c r="C3" i="1"/>
  <c r="C54" i="1"/>
  <c r="C51" i="1"/>
  <c r="C50" i="1"/>
  <c r="C48" i="1"/>
  <c r="C46" i="1"/>
  <c r="C47" i="1"/>
  <c r="C43" i="1"/>
  <c r="C82" i="1"/>
  <c r="C73" i="1"/>
  <c r="C72" i="1"/>
  <c r="C71" i="1"/>
  <c r="C70" i="1"/>
  <c r="C66" i="1"/>
  <c r="C61" i="1"/>
  <c r="C58" i="1"/>
  <c r="C56" i="1"/>
  <c r="I50" i="1"/>
  <c r="I35" i="1"/>
  <c r="I36" i="1"/>
  <c r="I31" i="1"/>
  <c r="I19" i="1"/>
  <c r="I32" i="1"/>
  <c r="I38" i="1"/>
  <c r="I37" i="1"/>
  <c r="I39" i="1"/>
  <c r="I14" i="1"/>
</calcChain>
</file>

<file path=xl/sharedStrings.xml><?xml version="1.0" encoding="utf-8"?>
<sst xmlns="http://schemas.openxmlformats.org/spreadsheetml/2006/main" count="1133" uniqueCount="689">
  <si>
    <t>capacitors</t>
  </si>
  <si>
    <t>amps</t>
  </si>
  <si>
    <t>connectors</t>
  </si>
  <si>
    <t>misc</t>
  </si>
  <si>
    <t>RF LVA-123+</t>
  </si>
  <si>
    <t>WR-FPC</t>
  </si>
  <si>
    <t>SMA</t>
  </si>
  <si>
    <t>BNC</t>
  </si>
  <si>
    <t>RF-Reciever Board</t>
  </si>
  <si>
    <t>Hi-temp epoxy</t>
  </si>
  <si>
    <t>digital mini scale 001g</t>
  </si>
  <si>
    <t>Cables</t>
  </si>
  <si>
    <t>0.5mm FFC</t>
  </si>
  <si>
    <t>binder clip</t>
  </si>
  <si>
    <t>220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</si>
  <si>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</si>
  <si>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</si>
  <si>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</si>
  <si>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</si>
  <si>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</si>
  <si>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</si>
  <si>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</si>
  <si>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</si>
  <si>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</si>
  <si>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</si>
  <si>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</si>
  <si>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</si>
  <si>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</si>
  <si>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</si>
  <si>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</si>
  <si>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</si>
  <si>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</si>
  <si>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</si>
  <si>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</si>
  <si>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</si>
  <si>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</si>
  <si>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</si>
  <si>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</si>
  <si>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</si>
  <si>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</si>
  <si>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</si>
  <si>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other Chips</t>
  </si>
  <si>
    <t>Freq Mixer</t>
  </si>
  <si>
    <t>SIM -14+</t>
  </si>
  <si>
    <t>SIM-73L+</t>
  </si>
  <si>
    <t>SIM-83+</t>
  </si>
  <si>
    <t>SIM-83LH+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</si>
  <si>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</si>
  <si>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</si>
  <si>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</si>
  <si>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</si>
  <si>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</si>
  <si>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</si>
  <si>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</si>
  <si>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</si>
  <si>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OPA360,SC70-6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</si>
  <si>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</si>
  <si>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</si>
  <si>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</si>
  <si>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</si>
  <si>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</si>
  <si>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</si>
  <si>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</si>
  <si>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</si>
  <si>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</si>
  <si>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</si>
  <si>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</si>
  <si>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LVA-123+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</si>
  <si>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</si>
  <si>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</si>
  <si>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</si>
  <si>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</si>
  <si>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</si>
  <si>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</si>
  <si>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</si>
  <si>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</si>
  <si>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</si>
  <si>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</si>
  <si>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multiplier</t>
  </si>
  <si>
    <t>HMC1167LP5E</t>
  </si>
  <si>
    <t>TGC4406-SM</t>
  </si>
  <si>
    <t>TPS73501QDRBRQ1</t>
  </si>
  <si>
    <t>TGA 4705-FC</t>
  </si>
  <si>
    <t>HMC773LC3B</t>
  </si>
  <si>
    <t>77GHz ,Triquint,LNA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</si>
  <si>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</si>
  <si>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</si>
  <si>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</si>
  <si>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</si>
  <si>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</si>
  <si>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</si>
  <si>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</si>
  <si>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</si>
  <si>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</si>
  <si>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</si>
  <si>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</si>
  <si>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</si>
  <si>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</si>
  <si>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</si>
  <si>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</si>
  <si>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</si>
  <si>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</si>
  <si>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</si>
  <si>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</si>
  <si>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</si>
  <si>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</si>
  <si>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</si>
  <si>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</si>
  <si>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</si>
  <si>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</si>
  <si>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</si>
  <si>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</si>
  <si>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</si>
  <si>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</si>
  <si>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</si>
  <si>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</si>
  <si>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</si>
  <si>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</si>
  <si>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</si>
  <si>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</si>
  <si>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</si>
  <si>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</si>
  <si>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</si>
  <si>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</si>
  <si>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</si>
  <si>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</si>
  <si>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</si>
  <si>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</si>
  <si>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</si>
  <si>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</si>
  <si>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</si>
  <si>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</si>
  <si>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</si>
  <si>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</si>
  <si>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</si>
  <si>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</si>
  <si>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</si>
  <si>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</si>
  <si>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</si>
  <si>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</si>
  <si>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</si>
  <si>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</si>
  <si>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</si>
  <si>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</si>
  <si>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</si>
  <si>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</si>
  <si>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</si>
  <si>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</si>
  <si>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</si>
  <si>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</si>
  <si>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</si>
  <si>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</si>
  <si>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</si>
  <si>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</si>
  <si>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</si>
  <si>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</si>
  <si>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</si>
  <si>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</si>
  <si>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435MS8GE</t>
  </si>
  <si>
    <t>HMC736LP4E,14.5-15.0GHZ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</si>
  <si>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</si>
  <si>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</si>
  <si>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</si>
  <si>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</si>
  <si>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</si>
  <si>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</si>
  <si>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</si>
  <si>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</si>
  <si>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</si>
  <si>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</si>
  <si>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</si>
  <si>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HMC506LP4E,7.8-8.7GHZ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</si>
  <si>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</si>
  <si>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</si>
  <si>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</si>
  <si>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</si>
  <si>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</si>
  <si>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</si>
  <si>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</si>
  <si>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</si>
  <si>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</si>
  <si>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</si>
  <si>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</si>
  <si>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</si>
  <si>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</si>
  <si>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3.32k</t>
  </si>
  <si>
    <t>0402</t>
  </si>
  <si>
    <t>0603</t>
  </si>
  <si>
    <t>1.05k</t>
  </si>
  <si>
    <t xml:space="preserve"> 0402</t>
  </si>
  <si>
    <t>18k</t>
  </si>
  <si>
    <t>8.06k</t>
  </si>
  <si>
    <t>47k</t>
  </si>
  <si>
    <t>38.3k</t>
  </si>
  <si>
    <t>82k</t>
  </si>
  <si>
    <t xml:space="preserve"> 0603</t>
  </si>
  <si>
    <t>1206</t>
  </si>
  <si>
    <t xml:space="preserve"> 1206</t>
  </si>
  <si>
    <t>value</t>
  </si>
  <si>
    <t xml:space="preserve">1 pF </t>
  </si>
  <si>
    <t>2824</t>
  </si>
  <si>
    <t xml:space="preserve">11 pf </t>
  </si>
  <si>
    <t xml:space="preserve">13 pf </t>
  </si>
  <si>
    <t xml:space="preserve">8.2 pf </t>
  </si>
  <si>
    <t xml:space="preserve">2.2 pf </t>
  </si>
  <si>
    <t>0805</t>
  </si>
  <si>
    <t xml:space="preserve">10 pf </t>
  </si>
  <si>
    <t xml:space="preserve">22pf </t>
  </si>
  <si>
    <t xml:space="preserve">20 pf </t>
  </si>
  <si>
    <t>1608</t>
  </si>
  <si>
    <t>T495E227KO16ATE100</t>
  </si>
  <si>
    <t>634k</t>
  </si>
  <si>
    <t>250k</t>
  </si>
  <si>
    <t>200k</t>
  </si>
  <si>
    <t>191k</t>
  </si>
  <si>
    <t>60.4k</t>
  </si>
  <si>
    <t>30k</t>
  </si>
  <si>
    <t>16.9k</t>
  </si>
  <si>
    <t>12k</t>
  </si>
  <si>
    <t>6.65k</t>
  </si>
  <si>
    <t>5k</t>
  </si>
  <si>
    <t>3.92k</t>
  </si>
  <si>
    <t>1.5k</t>
  </si>
  <si>
    <t>1.3k</t>
  </si>
  <si>
    <t>1.2k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</si>
  <si>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</si>
  <si>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</si>
  <si>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</si>
  <si>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</si>
  <si>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</si>
  <si>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</si>
  <si>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</si>
  <si>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</si>
  <si>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</si>
  <si>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</si>
  <si>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</si>
  <si>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</si>
  <si>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</si>
  <si>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</si>
  <si>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</si>
  <si>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</si>
  <si>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</si>
  <si>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</si>
  <si>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</si>
  <si>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</si>
  <si>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</si>
  <si>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</si>
  <si>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</si>
  <si>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</si>
  <si>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</si>
  <si>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>etc</t>
  </si>
  <si>
    <t xml:space="preserve">   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</si>
  <si>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</si>
  <si>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</si>
  <si>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</si>
  <si>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</si>
  <si>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</si>
  <si>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</si>
  <si>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</si>
  <si>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</si>
  <si>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</si>
  <si>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</si>
  <si>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</si>
  <si>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</si>
  <si>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</si>
  <si>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</si>
  <si>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</si>
  <si>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</si>
  <si>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</si>
  <si>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</si>
  <si>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</si>
  <si>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</si>
  <si>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</si>
  <si>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</si>
  <si>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</si>
  <si>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</si>
  <si>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</si>
  <si>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</si>
  <si>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</si>
  <si>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</si>
  <si>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</si>
  <si>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</si>
  <si>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</si>
  <si>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</si>
  <si>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</si>
  <si>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</si>
  <si>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</si>
  <si>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</si>
  <si>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</si>
  <si>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</si>
  <si>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</si>
  <si>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</si>
  <si>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</si>
  <si>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</si>
  <si>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</si>
  <si>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</si>
  <si>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</si>
  <si>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</si>
  <si>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</si>
  <si>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</si>
  <si>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ERJ-3GEY0R00V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</si>
  <si>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</si>
  <si>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</si>
  <si>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</si>
  <si>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</si>
  <si>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</si>
  <si>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</si>
  <si>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</si>
  <si>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</si>
  <si>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</si>
  <si>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</si>
  <si>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</si>
  <si>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</si>
  <si>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</si>
  <si>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</si>
  <si>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</si>
  <si>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</si>
  <si>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</si>
  <si>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</si>
  <si>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</si>
  <si>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</si>
  <si>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</si>
  <si>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RMC1/16K8202FTP</t>
  </si>
  <si>
    <t>82K</t>
  </si>
  <si>
    <t>RK73H2ATTD3R16F</t>
  </si>
  <si>
    <t>CR0603-FX-3601ELF</t>
  </si>
  <si>
    <t>3.6K</t>
  </si>
  <si>
    <t>ERJ-3EKF3601V</t>
  </si>
  <si>
    <t>RK73H1JTTD1500F</t>
  </si>
  <si>
    <t>RMCF1206FT113R</t>
  </si>
  <si>
    <t>RK73H1JTTD4991F</t>
  </si>
  <si>
    <t>4.99K</t>
  </si>
  <si>
    <t>RC0603FR-0710RL</t>
  </si>
  <si>
    <t>CRCW0805402RFKEA</t>
  </si>
  <si>
    <t>MCR10EZHF1501</t>
  </si>
  <si>
    <t>1.5K</t>
  </si>
  <si>
    <t>MRMCF1206FT267R</t>
  </si>
  <si>
    <t>RC1608F510CS</t>
  </si>
  <si>
    <t>MCR10EZHF1002</t>
  </si>
  <si>
    <t>10K</t>
  </si>
  <si>
    <t>RC0805JR-0715RL</t>
  </si>
  <si>
    <t>CRCW080556R0FKEA</t>
  </si>
  <si>
    <t>RC1206FR-07220RL</t>
  </si>
  <si>
    <t>RMCF1206JT1K30</t>
  </si>
  <si>
    <t>1.3K</t>
  </si>
  <si>
    <t>CRCW0603100RFKTA</t>
  </si>
  <si>
    <t>C0402C101J3GACTU</t>
  </si>
  <si>
    <t>100pF</t>
  </si>
  <si>
    <t>25V</t>
  </si>
  <si>
    <t>ECD-G0ER909</t>
  </si>
  <si>
    <t>0.90PF</t>
  </si>
  <si>
    <t>ECD-G0E1R8B</t>
  </si>
  <si>
    <t>1.8PF</t>
  </si>
  <si>
    <t>B37923K5030B960</t>
  </si>
  <si>
    <t>3.9PF</t>
  </si>
  <si>
    <t>50V</t>
  </si>
  <si>
    <t>CRM1555C1H101JA01D</t>
  </si>
  <si>
    <t>100PF</t>
  </si>
  <si>
    <t>CRM155R60J475ME47D</t>
  </si>
  <si>
    <t>0402YC104MAT2A</t>
  </si>
  <si>
    <t>251R14S4R7CV4T</t>
  </si>
  <si>
    <t>4.7PF</t>
  </si>
  <si>
    <t>250V</t>
  </si>
  <si>
    <t>C3216X5R1C336M</t>
  </si>
  <si>
    <t>GRM32ER61E226KE15L</t>
  </si>
  <si>
    <t>TAJW107K006RNJ</t>
  </si>
  <si>
    <t>TMK325B7226KMHP</t>
  </si>
  <si>
    <t>C3216X5R1E476M160AC</t>
  </si>
  <si>
    <t>EEE-FC0J220R</t>
  </si>
  <si>
    <t>GMK316F106ZL-T</t>
  </si>
  <si>
    <t>30V</t>
  </si>
  <si>
    <t>GRM21BC81C226ME44L</t>
  </si>
  <si>
    <t>08055A100JAT2A</t>
  </si>
  <si>
    <t>10PF</t>
  </si>
  <si>
    <t>C2012X5R1V156M125AC</t>
  </si>
  <si>
    <t>C0805C821J5GACTU</t>
  </si>
  <si>
    <t>GRM2165C1H332JA01D</t>
  </si>
  <si>
    <t>SQCAEM0R1BAJME</t>
  </si>
  <si>
    <t>0.1PF</t>
  </si>
  <si>
    <t>150V</t>
  </si>
  <si>
    <t>0605</t>
  </si>
  <si>
    <t>MCU0805PD2002DP500</t>
  </si>
  <si>
    <t>CR0805-FX-8451ELF</t>
  </si>
  <si>
    <t>8.45K</t>
  </si>
  <si>
    <t>CR0603-FX-8451ELF</t>
  </si>
  <si>
    <t>CRCW080556R2FKEA</t>
  </si>
  <si>
    <t>ECJ-2VC1H391J</t>
  </si>
  <si>
    <t>C0805C105K4RACTU</t>
  </si>
  <si>
    <t>ECJ-2VC1H270J</t>
  </si>
  <si>
    <t>27PF</t>
  </si>
  <si>
    <t>CL21A476MQYNNNE</t>
  </si>
  <si>
    <t>MF-NSMF 110-2</t>
  </si>
  <si>
    <t>FUSE</t>
  </si>
  <si>
    <t>Part Num</t>
  </si>
  <si>
    <t>Current</t>
  </si>
  <si>
    <t>Voltage</t>
  </si>
  <si>
    <t>footprint</t>
  </si>
  <si>
    <t>1.1A</t>
  </si>
  <si>
    <t>6V</t>
  </si>
  <si>
    <t>C1Q 1.5</t>
  </si>
  <si>
    <t>1.5A</t>
  </si>
  <si>
    <t>125V</t>
  </si>
  <si>
    <t>RC1608F9532CS</t>
  </si>
  <si>
    <t>95.3K</t>
  </si>
  <si>
    <t>MF-NSMF 110 -2</t>
  </si>
  <si>
    <t>1.10A</t>
  </si>
  <si>
    <t>MF-NSMF050-2</t>
  </si>
  <si>
    <t>500mA</t>
  </si>
  <si>
    <t>13.2V</t>
  </si>
  <si>
    <t>MF-NSMF012-2</t>
  </si>
  <si>
    <t>0.12A</t>
  </si>
  <si>
    <t>FC0603E50R</t>
  </si>
  <si>
    <t>FC0402E1000BST1</t>
  </si>
  <si>
    <t>CH0402-250RGF</t>
  </si>
  <si>
    <t>FC0603E5050BST1</t>
  </si>
  <si>
    <t>F951C106MSAAQ2</t>
  </si>
  <si>
    <t>ADG719BRTZ-REEL7</t>
  </si>
  <si>
    <t>CH0402-500RGFPT</t>
  </si>
  <si>
    <t>504L2000FTNCFT</t>
  </si>
  <si>
    <t>74AHC164BQ,115</t>
  </si>
  <si>
    <t>Logic Gates</t>
  </si>
  <si>
    <t>MC100LVEP05MNTXG</t>
  </si>
  <si>
    <t>CH0402-150RGF</t>
  </si>
  <si>
    <t>TZR1Z010A001R00</t>
  </si>
  <si>
    <t>1PF</t>
  </si>
  <si>
    <t>RC0603JR-070RL</t>
  </si>
  <si>
    <t>RC0603JR-0791RL</t>
  </si>
  <si>
    <t>RC1206FR-07165RL</t>
  </si>
  <si>
    <t>CR2512-J/-000ELF</t>
  </si>
  <si>
    <t>CR0603-FX-1621ELF</t>
  </si>
  <si>
    <t>1.62k</t>
  </si>
  <si>
    <t>MCT06030C1004FP500</t>
  </si>
  <si>
    <t>1M</t>
  </si>
  <si>
    <t>RR0510P-2870-D</t>
  </si>
  <si>
    <t>CRCW080543R2FKEA</t>
  </si>
  <si>
    <t>ERJ-6RQF3R9V</t>
  </si>
  <si>
    <t>MCR03ERTTF4122</t>
  </si>
  <si>
    <t>41.2k</t>
  </si>
  <si>
    <t>MCR18EZHF2430</t>
  </si>
  <si>
    <t>ERJ-8ENF47ROV</t>
  </si>
  <si>
    <t>RMCF0603FT62K0</t>
  </si>
  <si>
    <t>62k</t>
  </si>
  <si>
    <t>RC1206FR-07470RL</t>
  </si>
  <si>
    <t>ERJ-2RKF2871X</t>
  </si>
  <si>
    <t>2.87k</t>
  </si>
  <si>
    <t>ERJ-2RKF4991X</t>
  </si>
  <si>
    <t>4.99k</t>
  </si>
  <si>
    <t>MCR18EZPF1001</t>
  </si>
  <si>
    <t>ERJ-3EKF10R0V</t>
  </si>
  <si>
    <t>RC1206FR-0760R4L</t>
  </si>
  <si>
    <t>MCR03ERTF2001</t>
  </si>
  <si>
    <t>2k</t>
  </si>
  <si>
    <t>MCR01MRTF1001</t>
  </si>
  <si>
    <t>MCR18EZPJ101</t>
  </si>
  <si>
    <t>MCR03ERTF2003</t>
  </si>
  <si>
    <t>ECJ-1VC1H101J</t>
  </si>
  <si>
    <t>100pf</t>
  </si>
  <si>
    <t>251R14S4R7BV4T</t>
  </si>
  <si>
    <t>4.7pf</t>
  </si>
  <si>
    <t>CL10A475KP8NNNC</t>
  </si>
  <si>
    <t>GRM188R60J225KE19D</t>
  </si>
  <si>
    <t>LMK107BJ225KA-T</t>
  </si>
  <si>
    <t>CC0603JRNP09BN680</t>
  </si>
  <si>
    <t>68pF</t>
  </si>
  <si>
    <t>251R14S6R8CV4T</t>
  </si>
  <si>
    <t>6.8pF</t>
  </si>
  <si>
    <t>GRM188R71H104KA93D</t>
  </si>
  <si>
    <t>C0603C560J5GACTU</t>
  </si>
  <si>
    <t>56pF</t>
  </si>
  <si>
    <t>C0603C569D5GACTM</t>
  </si>
  <si>
    <t>5.6pF</t>
  </si>
  <si>
    <t>0603N470F500CT</t>
  </si>
  <si>
    <t>47pF</t>
  </si>
  <si>
    <t>0603N680F500CT</t>
  </si>
  <si>
    <t>CC0603KRX7R9BB501</t>
  </si>
  <si>
    <t>ECJ-1VB1E103K</t>
  </si>
  <si>
    <t>251R14S0R3BV4T</t>
  </si>
  <si>
    <t>0.3pF</t>
  </si>
  <si>
    <t>251R14S0R9BV4T</t>
  </si>
  <si>
    <t>0.9pF</t>
  </si>
  <si>
    <t>0.2pF</t>
  </si>
  <si>
    <t>251R14S5R6CV4T</t>
  </si>
  <si>
    <t>GRM155R71H102KA01D</t>
  </si>
  <si>
    <t>MF--NSMF035-2</t>
  </si>
  <si>
    <t>C1Q 500</t>
  </si>
  <si>
    <t>MF-NSMF075-2</t>
  </si>
  <si>
    <t>C1Q 750</t>
  </si>
  <si>
    <t>C1Q 375</t>
  </si>
  <si>
    <t>0.35A</t>
  </si>
  <si>
    <t>750mA</t>
  </si>
  <si>
    <t>375mA</t>
  </si>
  <si>
    <t>Switchs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</si>
  <si>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</si>
  <si>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</si>
  <si>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</si>
  <si>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</si>
  <si>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</si>
  <si>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</si>
  <si>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</si>
  <si>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</si>
  <si>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</si>
  <si>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</si>
  <si>
    <t>inductor</t>
  </si>
  <si>
    <t>LQW18AN12NJ00D</t>
  </si>
  <si>
    <t>12 nh</t>
  </si>
  <si>
    <t>LQP03TG0N4B02D</t>
  </si>
  <si>
    <t>0.4NH</t>
  </si>
  <si>
    <t>BLM21PG221SN1D</t>
  </si>
  <si>
    <t>MLK1005SR15J</t>
  </si>
  <si>
    <t>3.58NH</t>
  </si>
  <si>
    <t>IHHP1008ABER1R5M01</t>
  </si>
  <si>
    <t>1.5UH</t>
  </si>
  <si>
    <t>SRR7045-102M</t>
  </si>
  <si>
    <t>1000 UH</t>
  </si>
  <si>
    <t>NLCV32T-R10M-PFR</t>
  </si>
  <si>
    <t>100NH</t>
  </si>
  <si>
    <t>VLP8040T-2R2N</t>
  </si>
  <si>
    <t>2.2UH</t>
  </si>
  <si>
    <t>SRP4020TA-1R5M</t>
  </si>
  <si>
    <t>CURRENT</t>
  </si>
  <si>
    <t>4.5 A</t>
  </si>
  <si>
    <t>1624112-8</t>
  </si>
  <si>
    <t>68 NH</t>
  </si>
  <si>
    <t xml:space="preserve">600 mA </t>
  </si>
  <si>
    <t>L-14C39NJV4T</t>
  </si>
  <si>
    <t>39NH</t>
  </si>
  <si>
    <t xml:space="preserve">300 mA </t>
  </si>
  <si>
    <t>12NH</t>
  </si>
  <si>
    <t>BLM21BD272SN1L</t>
  </si>
  <si>
    <t>LQW18AN8N2D00D</t>
  </si>
  <si>
    <t>8.2 NH</t>
  </si>
  <si>
    <t xml:space="preserve">650 mA </t>
  </si>
  <si>
    <t>B82496C3121J</t>
  </si>
  <si>
    <t>120NH</t>
  </si>
  <si>
    <t>0.16A</t>
  </si>
  <si>
    <t>MLF2012A3R3KT000</t>
  </si>
  <si>
    <t>3.3UH</t>
  </si>
  <si>
    <t>L0603C1N0SRMST</t>
  </si>
  <si>
    <t>1NH</t>
  </si>
  <si>
    <t>300mA</t>
  </si>
  <si>
    <t xml:space="preserve">600mA </t>
  </si>
  <si>
    <t>EPL2014-472MLB</t>
  </si>
  <si>
    <t>BLM21AG221BH1D</t>
  </si>
  <si>
    <t>LQW18ANR10J00D</t>
  </si>
  <si>
    <t xml:space="preserve">220 mA </t>
  </si>
  <si>
    <t>LQW18AN5N6D00D</t>
  </si>
  <si>
    <t>5.6 NH</t>
  </si>
  <si>
    <t xml:space="preserve">750 mA </t>
  </si>
  <si>
    <t>cim21j222ne</t>
  </si>
  <si>
    <t>2.2k</t>
  </si>
  <si>
    <t>Ferrite bead</t>
  </si>
  <si>
    <t>P/N</t>
  </si>
  <si>
    <t>Ohm</t>
  </si>
  <si>
    <t>footsize</t>
  </si>
  <si>
    <t>LQW18AN2N2D00D</t>
    <phoneticPr fontId="3" type="noConversion"/>
  </si>
  <si>
    <t>LQW18AN2N2D10D</t>
    <phoneticPr fontId="3" type="noConversion"/>
  </si>
  <si>
    <t>LQW18AN12NJ00D</t>
    <phoneticPr fontId="3" type="noConversion"/>
  </si>
  <si>
    <t>LQW18AN36NG00D</t>
    <phoneticPr fontId="3" type="noConversion"/>
  </si>
  <si>
    <t>LQW18AN68NJ00D</t>
    <phoneticPr fontId="3" type="noConversion"/>
  </si>
  <si>
    <t>MLK1005SR15JT000</t>
    <phoneticPr fontId="3" type="noConversion"/>
  </si>
  <si>
    <t>MLK1005S22NJT000</t>
    <phoneticPr fontId="3" type="noConversion"/>
  </si>
  <si>
    <t>B82496C3270J</t>
    <phoneticPr fontId="3" type="noConversion"/>
  </si>
  <si>
    <t>LQW18ANR10J00D</t>
    <phoneticPr fontId="3" type="noConversion"/>
  </si>
  <si>
    <t>LQW18AN43NJ00D</t>
    <phoneticPr fontId="3" type="noConversion"/>
  </si>
  <si>
    <t>B82496C3479J</t>
    <phoneticPr fontId="3" type="noConversion"/>
  </si>
  <si>
    <t>LQP15MN22NGO2D</t>
    <phoneticPr fontId="3" type="noConversion"/>
  </si>
  <si>
    <t>LQW18AN30NG00D</t>
    <phoneticPr fontId="3" type="noConversion"/>
  </si>
  <si>
    <t>LQW18AN8N2D00D</t>
    <phoneticPr fontId="3" type="noConversion"/>
  </si>
  <si>
    <t>MPI404R1-R15-R</t>
    <phoneticPr fontId="3" type="noConversion"/>
  </si>
  <si>
    <t>SRN6045-220M</t>
    <phoneticPr fontId="3" type="noConversion"/>
  </si>
  <si>
    <t>220 UH</t>
    <phoneticPr fontId="3" type="noConversion"/>
  </si>
  <si>
    <t>L-14C39NJV4T</t>
    <phoneticPr fontId="3" type="noConversion"/>
  </si>
  <si>
    <t>L-14C18NJV4T</t>
    <phoneticPr fontId="3" type="noConversion"/>
  </si>
  <si>
    <t>1-1624112-0</t>
    <phoneticPr fontId="3" type="noConversion"/>
  </si>
  <si>
    <t>S1812-103K</t>
    <phoneticPr fontId="3" type="noConversion"/>
  </si>
  <si>
    <t>10UH</t>
    <phoneticPr fontId="3" type="noConversion"/>
  </si>
  <si>
    <t>100 nF</t>
  </si>
  <si>
    <t>47 pF</t>
  </si>
  <si>
    <t>68 pF</t>
  </si>
  <si>
    <t>10 pF</t>
  </si>
  <si>
    <t>251R14S0R2AV4T</t>
  </si>
  <si>
    <t>0.2 pF</t>
  </si>
  <si>
    <t>0.3 pF</t>
  </si>
  <si>
    <t>0.9 pF</t>
  </si>
  <si>
    <t>4.7 pF</t>
  </si>
  <si>
    <t>5.6 pF</t>
  </si>
  <si>
    <t>6.8 pF</t>
  </si>
  <si>
    <t>3 pF</t>
  </si>
  <si>
    <t>56 pF</t>
  </si>
  <si>
    <t>1.0 µF</t>
  </si>
  <si>
    <t>820 pF</t>
  </si>
  <si>
    <t>C1608X5R0J106K080AB</t>
  </si>
  <si>
    <t>10 µF</t>
  </si>
  <si>
    <t>15 µF</t>
  </si>
  <si>
    <t>33 µF</t>
  </si>
  <si>
    <t>47 µF</t>
  </si>
  <si>
    <t>500 pF</t>
  </si>
  <si>
    <t>CC1206MKX5R7BB226</t>
  </si>
  <si>
    <t>22 µF</t>
  </si>
  <si>
    <t>4.7 µF</t>
  </si>
  <si>
    <t>1.8 pF</t>
  </si>
  <si>
    <t>10 nF</t>
  </si>
  <si>
    <t>27 pF</t>
  </si>
  <si>
    <t>390 pF</t>
  </si>
  <si>
    <t>SMD Can</t>
  </si>
  <si>
    <t>3216 (A)</t>
  </si>
  <si>
    <t>1.0 nF</t>
  </si>
  <si>
    <t>2.2 µF</t>
  </si>
  <si>
    <t>3.3 nF</t>
  </si>
  <si>
    <t>0.1 pF</t>
  </si>
  <si>
    <t>1210 (W)</t>
  </si>
  <si>
    <t>100 µF</t>
  </si>
  <si>
    <t>Trimmer</t>
  </si>
  <si>
    <t>1 pF</t>
  </si>
  <si>
    <t>Number</t>
  </si>
  <si>
    <t>A</t>
  </si>
  <si>
    <t>O</t>
  </si>
  <si>
    <t>FD</t>
  </si>
  <si>
    <t>quantity</t>
  </si>
  <si>
    <t>quanitity</t>
  </si>
  <si>
    <t>HMC388LP4E</t>
  </si>
  <si>
    <t>package</t>
  </si>
  <si>
    <t>HMC532LP4E</t>
  </si>
  <si>
    <t>CUT&amp;TAP</t>
  </si>
  <si>
    <t>HMC506LP4ETR</t>
  </si>
  <si>
    <t>NON</t>
  </si>
  <si>
    <t>ROS-80-7119+</t>
  </si>
  <si>
    <t>HMC429LP4ERT</t>
  </si>
  <si>
    <t>HMC391LP4E</t>
  </si>
  <si>
    <t>HMC654LP2E</t>
  </si>
  <si>
    <t>NUMBER</t>
  </si>
  <si>
    <t>HMC653LP2ETR</t>
  </si>
  <si>
    <t>HMC220AMS8ETR</t>
  </si>
  <si>
    <t>reel and cut&amp;tap</t>
  </si>
  <si>
    <t>HMC466LP4E</t>
  </si>
  <si>
    <t>cut&amp;tap</t>
  </si>
  <si>
    <t>ROS-70-119+</t>
  </si>
  <si>
    <t>ADE-11X+</t>
  </si>
  <si>
    <t>ADE-1LH+</t>
  </si>
  <si>
    <t>MAR-3+</t>
  </si>
  <si>
    <t>REEL</t>
  </si>
  <si>
    <t>SALF-78</t>
  </si>
  <si>
    <t>MCA1-85L+</t>
  </si>
  <si>
    <t>MCA1-12G+</t>
  </si>
  <si>
    <t>SYM-63LH+</t>
  </si>
  <si>
    <t>GALI-74+</t>
  </si>
  <si>
    <t>GALI-3+</t>
  </si>
  <si>
    <t>MCA1-85+</t>
  </si>
  <si>
    <t>ADEX-10H+</t>
  </si>
  <si>
    <t>HMC412AMS8GE</t>
  </si>
  <si>
    <t>GALI-6+</t>
  </si>
  <si>
    <t>ERA-33SM+</t>
  </si>
  <si>
    <t>GALI-51+</t>
  </si>
  <si>
    <t>GALI-39+</t>
  </si>
  <si>
    <t>GALI-S66+</t>
  </si>
  <si>
    <t>CUT-TAP</t>
  </si>
  <si>
    <t>GALI-1+</t>
  </si>
  <si>
    <t>GALI-5F+</t>
  </si>
  <si>
    <t xml:space="preserve"> </t>
  </si>
  <si>
    <t>100+10+4</t>
  </si>
  <si>
    <t>50+8</t>
  </si>
  <si>
    <t>REG101NA-3/250</t>
  </si>
  <si>
    <t>HMC220AMS8ETR</t>
    <phoneticPr fontId="6" type="noConversion"/>
  </si>
  <si>
    <t>CT</t>
    <phoneticPr fontId="6" type="noConversion"/>
  </si>
  <si>
    <t>MCA1-80LH+</t>
    <phoneticPr fontId="6" type="noConversion"/>
  </si>
  <si>
    <t>MCA1-85+</t>
    <phoneticPr fontId="6" type="noConversion"/>
  </si>
  <si>
    <t>REEL &amp; INDIVIDUAL</t>
    <phoneticPr fontId="6" type="noConversion"/>
  </si>
  <si>
    <t>RCAT-07+</t>
    <phoneticPr fontId="6" type="noConversion"/>
  </si>
  <si>
    <t>SYM-63LH+</t>
    <phoneticPr fontId="6" type="noConversion"/>
  </si>
  <si>
    <t>SKY-42+</t>
    <phoneticPr fontId="6" type="noConversion"/>
  </si>
  <si>
    <t>CT &amp; REEL</t>
    <phoneticPr fontId="6" type="noConversion"/>
  </si>
  <si>
    <t>SYIQ-895D+</t>
    <phoneticPr fontId="6" type="noConversion"/>
  </si>
  <si>
    <t>HMC734LP5E_8.6~10.2GHz</t>
  </si>
  <si>
    <t>HMC941ALP4E</t>
    <phoneticPr fontId="6" type="noConversion"/>
  </si>
  <si>
    <t>HMC270MS8GE</t>
    <phoneticPr fontId="6" type="noConversion"/>
  </si>
  <si>
    <t>HMC430LP4ETR</t>
  </si>
  <si>
    <t>HMC742ALP5ETR</t>
    <phoneticPr fontId="6" type="noConversion"/>
  </si>
  <si>
    <t>HMC374SC70E</t>
    <phoneticPr fontId="6" type="noConversion"/>
  </si>
  <si>
    <t>HMC424LP3E</t>
    <phoneticPr fontId="6" type="noConversion"/>
  </si>
  <si>
    <t>HMC553LC3B</t>
    <phoneticPr fontId="6" type="noConversion"/>
  </si>
  <si>
    <t>HMC772LC4</t>
    <phoneticPr fontId="6" type="noConversion"/>
  </si>
  <si>
    <t>HMC412AMS8GE</t>
    <phoneticPr fontId="6" type="noConversion"/>
  </si>
  <si>
    <t>HMC652LP2E</t>
    <phoneticPr fontId="6" type="noConversion"/>
  </si>
  <si>
    <t>HMC653LP2E</t>
    <phoneticPr fontId="6" type="noConversion"/>
  </si>
  <si>
    <t>HMC677LP5E</t>
    <phoneticPr fontId="6" type="noConversion"/>
  </si>
  <si>
    <t>HMC284MS8GE</t>
    <phoneticPr fontId="6" type="noConversion"/>
  </si>
  <si>
    <t>HMC239AS8E</t>
    <phoneticPr fontId="6" type="noConversion"/>
  </si>
  <si>
    <t>HMC219MS8</t>
    <phoneticPr fontId="6" type="noConversion"/>
  </si>
  <si>
    <t xml:space="preserve">reel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</si>
</sst>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/>
    <xf numFmtId="0" fontId="2" fillId="0" borderId="0" xfId="0" applyFont="1" applyAlignment="1">
      <alignment horizontal="left" indent="1"/>
    </xf>
    <xf numFmtId="0" fontId="0" fillId="0" borderId="0" xfId="0" quotePrefix="1" applyAlignment="1">
      <alignment horizontal="left" indent="1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quotePrefix="1" applyNumberFormat="1" applyAlignment="1">
      <alignment horizontal="left" indent="1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Fill="1"/>
    <xf numFmtId="0" fontId="0" fillId="0" borderId="0" xfId="0" quotePrefix="1" applyFill="1" applyAlignment="1">
      <alignment horizontal="left" indent="1"/>
    </xf>
    <xf numFmtId="0" fontId="0" fillId="0" borderId="0" xfId="0" applyFill="1" applyAlignment="1">
      <alignment horizontal="left" indent="1"/>
    </xf>
    <xf numFmtId="0" fontId="2" fillId="0" borderId="0" xfId="0" applyFont="1" applyFill="1"/>
    <xf numFmtId="0" fontId="0" fillId="0" borderId="0" xfId="0" quotePrefix="1" applyFill="1"/>
    <xf numFmtId="0" fontId="2" fillId="0" borderId="0" xfId="0" quotePrefix="1" applyFont="1" applyFill="1"/>
    <xf numFmtId="0" fontId="1" fillId="2" borderId="0" xfId="0" applyFont="1" applyFill="1" applyBorder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2" borderId="0" xfId="0" applyFont="1" applyFill="1"/>
    <xf numFmtId="0" fontId="1" fillId="5" borderId="0" xfId="0" applyFont="1" applyFill="1"/>
    <xf numFmtId="0" fontId="1" fillId="9" borderId="0" xfId="0" applyFont="1" applyFill="1"/>
    <xf numFmtId="49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quotePrefix="1" applyFont="1" applyAlignment="1">
      <alignment horizontal="center"/>
    </xf>
    <xf numFmtId="49" fontId="6" fillId="0" borderId="0" xfId="0" quotePrefix="1" applyNumberFormat="1" applyFont="1" applyAlignment="1">
      <alignment horizontal="center"/>
    </xf>
    <xf numFmtId="0" fontId="6" fillId="0" borderId="0" xfId="0" quotePrefix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1" fillId="6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AY143"/>
  <sheetViews>
    <sheetView tabSelected="1" zoomScaleNormal="100" workbookViewId="0">
      <selection activeCell="G1" sqref="G1:K1"/>
    </sheetView>
  </sheetViews>
  <sheetFormatPr defaultRowHeight="13.8"/>
  <cols>
    <col min="1" max="1" width="27.69921875" customWidth="1"/>
    <col min="2" max="2" width="13.69921875" customWidth="1"/>
    <col min="3" max="4" width="10.59765625" customWidth="1"/>
    <col min="5" max="6" width="19.69921875" style="15" customWidth="1"/>
    <col min="7" max="7" width="21.19921875" customWidth="1"/>
    <col min="8" max="8" width="10.8984375" customWidth="1"/>
    <col min="9" max="9" width="13.5" customWidth="1"/>
    <col min="10" max="10" width="12.796875" customWidth="1"/>
    <col min="11" max="12" width="18.69921875" customWidth="1"/>
    <col min="13" max="13" width="20.5" customWidth="1"/>
    <col min="14" max="15" width="18.69921875" customWidth="1"/>
    <col min="16" max="16" width="15.69921875" customWidth="1"/>
    <col min="17" max="18" width="20.5" customWidth="1"/>
    <col min="19" max="19" width="13" customWidth="1"/>
    <col min="20" max="20" width="14.8984375" customWidth="1"/>
    <col min="21" max="21" width="27.19921875" customWidth="1"/>
    <col min="22" max="26" width="15.3984375" customWidth="1"/>
    <col min="27" max="27" width="19.3984375" customWidth="1"/>
    <col min="28" max="31" width="33.09765625" customWidth="1"/>
    <col min="32" max="32" width="49.8984375" customWidth="1"/>
    <col min="33" max="33" width="23.59765625" customWidth="1"/>
    <col min="34" max="34" width="18.09765625" customWidth="1"/>
    <col min="35" max="35" width="49.8984375" customWidth="1"/>
    <col min="36" max="36" width="24" customWidth="1"/>
    <col min="37" max="37" width="19.19921875" customWidth="1"/>
    <col min="38" max="38" width="32.5" customWidth="1"/>
    <col min="39" max="39" width="33.59765625" customWidth="1"/>
    <col min="40" max="40" width="15.69921875" style="47" customWidth="1"/>
    <col min="41" max="41" width="15.8984375" customWidth="1"/>
    <col min="42" max="42" width="18.8984375" customWidth="1"/>
    <col min="46" max="46" width="15.59765625" customWidth="1"/>
    <col min="47" max="47" width="17.69921875" customWidth="1"/>
  </cols>
  <sheetData>
    <row r="1" spans="1:51">
      <c r="A1" s="50" t="s">
        <v>77</v>
      </c>
      <c r="B1" s="50"/>
      <c r="C1" s="50"/>
      <c r="D1" s="50"/>
      <c r="E1" s="50"/>
      <c r="F1" s="36"/>
      <c r="G1" s="51" t="s">
        <v>0</v>
      </c>
      <c r="H1" s="51"/>
      <c r="I1" s="51"/>
      <c r="J1" s="51"/>
      <c r="K1" s="51"/>
      <c r="L1" s="37"/>
      <c r="M1" s="52" t="s">
        <v>502</v>
      </c>
      <c r="N1" s="52"/>
      <c r="O1" s="52"/>
      <c r="P1" s="52"/>
      <c r="Q1" s="26" t="s">
        <v>1</v>
      </c>
      <c r="R1" s="26"/>
      <c r="S1" s="26"/>
      <c r="T1" s="49" t="s">
        <v>2</v>
      </c>
      <c r="U1" s="49"/>
      <c r="V1" s="29" t="s">
        <v>11</v>
      </c>
      <c r="W1" s="31" t="s">
        <v>78</v>
      </c>
      <c r="X1" s="27" t="s">
        <v>42</v>
      </c>
      <c r="Y1" s="27"/>
      <c r="Z1" s="27"/>
      <c r="AA1" s="26" t="s">
        <v>420</v>
      </c>
      <c r="AB1" s="30" t="s">
        <v>22</v>
      </c>
      <c r="AC1" s="30"/>
      <c r="AD1" s="29" t="s">
        <v>53</v>
      </c>
      <c r="AE1" s="31" t="s">
        <v>51</v>
      </c>
      <c r="AF1" s="27" t="s">
        <v>41</v>
      </c>
      <c r="AG1" s="30" t="s">
        <v>72</v>
      </c>
      <c r="AH1" s="30" t="s">
        <v>630</v>
      </c>
      <c r="AI1" s="29" t="s">
        <v>34</v>
      </c>
      <c r="AJ1" s="28" t="s">
        <v>64</v>
      </c>
      <c r="AK1" s="28"/>
      <c r="AL1" s="27" t="s">
        <v>3</v>
      </c>
      <c r="AM1" s="26" t="s">
        <v>147</v>
      </c>
      <c r="AN1" s="46" t="s">
        <v>621</v>
      </c>
      <c r="AO1" s="26" t="s">
        <v>619</v>
      </c>
      <c r="AP1" s="49" t="s">
        <v>392</v>
      </c>
      <c r="AQ1" s="49"/>
      <c r="AR1" s="49"/>
      <c r="AS1" s="49"/>
      <c r="AT1" s="25" t="s">
        <v>491</v>
      </c>
      <c r="AU1" s="48" t="s">
        <v>550</v>
      </c>
      <c r="AV1" s="48"/>
      <c r="AW1" s="48"/>
      <c r="AX1" s="48"/>
      <c r="AY1" s="48"/>
    </row>
    <row r="2" spans="1:51">
      <c r="A2" t="s">
        <v>181</v>
      </c>
      <c r="B2" t="s">
        <v>182</v>
      </c>
      <c r="C2" s="2" t="s">
        <v>226</v>
      </c>
      <c r="D2" t="s">
        <v>184</v>
      </c>
      <c r="E2" s="12" t="s">
        <v>183</v>
      </c>
      <c r="F2" s="12" t="s">
        <v>614</v>
      </c>
      <c r="G2" s="1" t="s">
        <v>181</v>
      </c>
      <c r="H2" s="1" t="s">
        <v>198</v>
      </c>
      <c r="I2" s="10" t="s">
        <v>231</v>
      </c>
      <c r="J2" s="1" t="s">
        <v>184</v>
      </c>
      <c r="K2" s="1" t="s">
        <v>183</v>
      </c>
      <c r="L2" s="1"/>
      <c r="M2" t="s">
        <v>181</v>
      </c>
      <c r="N2" t="s">
        <v>227</v>
      </c>
      <c r="O2" t="s">
        <v>519</v>
      </c>
      <c r="P2" s="1" t="s">
        <v>183</v>
      </c>
      <c r="Q2" s="38" t="s">
        <v>4</v>
      </c>
      <c r="S2">
        <v>0</v>
      </c>
      <c r="T2" s="11" t="s">
        <v>181</v>
      </c>
      <c r="U2" s="11" t="s">
        <v>230</v>
      </c>
      <c r="V2" t="s">
        <v>12</v>
      </c>
      <c r="W2" t="s">
        <v>79</v>
      </c>
      <c r="X2" t="s">
        <v>43</v>
      </c>
      <c r="Z2">
        <v>5</v>
      </c>
      <c r="AA2" t="s">
        <v>421</v>
      </c>
      <c r="AB2" t="s">
        <v>23</v>
      </c>
      <c r="AD2" t="s">
        <v>54</v>
      </c>
      <c r="AE2" t="s">
        <v>52</v>
      </c>
      <c r="AF2" t="s">
        <v>40</v>
      </c>
      <c r="AG2" t="s">
        <v>73</v>
      </c>
      <c r="AI2" t="s">
        <v>62</v>
      </c>
      <c r="AJ2" t="s">
        <v>65</v>
      </c>
      <c r="AL2" t="s">
        <v>8</v>
      </c>
      <c r="AM2" t="s">
        <v>148</v>
      </c>
      <c r="AN2" s="47" t="s">
        <v>633</v>
      </c>
      <c r="AO2" t="s">
        <v>659</v>
      </c>
      <c r="AP2" t="s">
        <v>393</v>
      </c>
      <c r="AQ2" t="s">
        <v>394</v>
      </c>
      <c r="AR2" t="s">
        <v>395</v>
      </c>
      <c r="AS2" t="s">
        <v>396</v>
      </c>
      <c r="AT2" s="19" t="s">
        <v>492</v>
      </c>
      <c r="AU2" s="33" t="s">
        <v>551</v>
      </c>
      <c r="AV2" s="33" t="s">
        <v>552</v>
      </c>
      <c r="AW2" s="33"/>
      <c r="AX2" s="33"/>
      <c r="AY2" s="33" t="s">
        <v>553</v>
      </c>
    </row>
    <row r="3" spans="1:51">
      <c r="B3" s="7">
        <v>0</v>
      </c>
      <c r="C3">
        <f t="shared" ref="C3:C34" si="0">IF(RIGHT(B3,1)="k", VALUE(LEFT(B3,LEN(B3)-1))*1000, VALUE(B3))</f>
        <v>0</v>
      </c>
      <c r="E3" s="13" t="s">
        <v>186</v>
      </c>
      <c r="F3" s="13"/>
      <c r="G3" s="5"/>
      <c r="H3" s="5" t="s">
        <v>378</v>
      </c>
      <c r="I3" s="1">
        <f>IF(ISNUMBER(SEARCH("pF",H3)), VALUE(LEFT(H3,SEARCH("pF",H3)-1)),
 IF(ISNUMBER(SEARCH("nF",H3)), VALUE(LEFT(H3,SEARCH("nF",H3)-1))*1000,
 IF(ISNUMBER(SEARCH("uF",H3)), VALUE(LEFT(H3,SEARCH("uF",H3)-1))*1000000,"")))</f>
        <v>0.1</v>
      </c>
      <c r="J3" s="5" t="s">
        <v>379</v>
      </c>
      <c r="K3" s="17" t="s">
        <v>380</v>
      </c>
      <c r="L3" s="17"/>
      <c r="M3" s="3"/>
      <c r="N3" s="3" t="s">
        <v>228</v>
      </c>
      <c r="O3" s="3"/>
      <c r="P3" s="3" t="s">
        <v>187</v>
      </c>
      <c r="Q3" s="38" t="s">
        <v>55</v>
      </c>
      <c r="S3">
        <v>0</v>
      </c>
      <c r="U3" t="s">
        <v>5</v>
      </c>
      <c r="V3" t="s">
        <v>70</v>
      </c>
      <c r="W3" t="s">
        <v>80</v>
      </c>
      <c r="X3" t="s">
        <v>44</v>
      </c>
      <c r="Z3">
        <v>5</v>
      </c>
      <c r="AB3" t="s">
        <v>24</v>
      </c>
      <c r="AF3" t="s">
        <v>39</v>
      </c>
      <c r="AG3" t="s">
        <v>629</v>
      </c>
      <c r="AH3">
        <v>7</v>
      </c>
      <c r="AI3" t="s">
        <v>52</v>
      </c>
      <c r="AJ3" t="s">
        <v>66</v>
      </c>
      <c r="AL3" t="s">
        <v>9</v>
      </c>
      <c r="AM3" t="s">
        <v>149</v>
      </c>
      <c r="AN3" s="47" t="s">
        <v>658</v>
      </c>
      <c r="AO3">
        <v>20</v>
      </c>
      <c r="AP3" t="s">
        <v>391</v>
      </c>
      <c r="AQ3" t="s">
        <v>397</v>
      </c>
      <c r="AR3" t="s">
        <v>398</v>
      </c>
      <c r="AS3" s="3" t="s">
        <v>196</v>
      </c>
      <c r="AT3" s="19" t="s">
        <v>493</v>
      </c>
      <c r="AU3" s="19" t="s">
        <v>507</v>
      </c>
      <c r="AV3">
        <v>220</v>
      </c>
      <c r="AY3" s="13" t="s">
        <v>205</v>
      </c>
    </row>
    <row r="4" spans="1:51">
      <c r="B4" s="7">
        <v>0</v>
      </c>
      <c r="C4">
        <f t="shared" si="0"/>
        <v>0</v>
      </c>
      <c r="E4" s="14" t="s">
        <v>195</v>
      </c>
      <c r="F4" s="14"/>
      <c r="G4" s="19" t="s">
        <v>377</v>
      </c>
      <c r="H4" s="15" t="s">
        <v>609</v>
      </c>
      <c r="I4" s="22">
        <f>IF(ISNUMBER(SEARCH("pF",H4)), VALUE(LEFT(H4,SEARCH("pF",H4)-1)),
 IF(ISNUMBER(SEARCH("nF",H4)), VALUE(LEFT(H4,SEARCH("nF",H4)-1))*1000,
 IF(ISNUMBER(SEARCH("µF",H4)), VALUE(LEFT(H4,SEARCH("µF",H4)-1))*1000000,"")))</f>
        <v>0.1</v>
      </c>
      <c r="J4" s="5"/>
      <c r="K4" s="15">
        <v>505</v>
      </c>
      <c r="L4" s="15"/>
      <c r="M4" s="3"/>
      <c r="N4" s="3" t="s">
        <v>229</v>
      </c>
      <c r="O4" s="3"/>
      <c r="P4" s="3" t="s">
        <v>187</v>
      </c>
      <c r="Q4" s="38" t="s">
        <v>67</v>
      </c>
      <c r="S4">
        <v>0</v>
      </c>
      <c r="U4" t="s">
        <v>6</v>
      </c>
      <c r="X4" t="s">
        <v>45</v>
      </c>
      <c r="Z4">
        <v>5</v>
      </c>
      <c r="AB4" t="s">
        <v>25</v>
      </c>
      <c r="AF4" t="s">
        <v>82</v>
      </c>
      <c r="AG4" t="s">
        <v>631</v>
      </c>
      <c r="AH4">
        <v>10</v>
      </c>
      <c r="AJ4" t="s">
        <v>641</v>
      </c>
      <c r="AK4">
        <v>15</v>
      </c>
      <c r="AL4" t="s">
        <v>10</v>
      </c>
      <c r="AM4" t="s">
        <v>150</v>
      </c>
      <c r="AO4">
        <v>0</v>
      </c>
      <c r="AP4" t="s">
        <v>399</v>
      </c>
      <c r="AQ4" t="s">
        <v>400</v>
      </c>
      <c r="AR4" t="s">
        <v>401</v>
      </c>
      <c r="AS4" s="3" t="s">
        <v>196</v>
      </c>
      <c r="AT4" s="19" t="s">
        <v>494</v>
      </c>
      <c r="AU4" s="23" t="s">
        <v>528</v>
      </c>
      <c r="AV4">
        <v>2700</v>
      </c>
      <c r="AY4" s="13" t="s">
        <v>205</v>
      </c>
    </row>
    <row r="5" spans="1:51">
      <c r="A5" t="s">
        <v>300</v>
      </c>
      <c r="B5" s="2"/>
      <c r="C5">
        <f t="shared" si="0"/>
        <v>0</v>
      </c>
      <c r="E5" s="14" t="s">
        <v>293</v>
      </c>
      <c r="F5" s="14"/>
      <c r="G5" s="5"/>
      <c r="H5" s="19" t="s">
        <v>480</v>
      </c>
      <c r="I5" s="22">
        <f t="shared" ref="I5:I11" si="1">IF(ISNUMBER(SEARCH("pF",H5)), VALUE(LEFT(H5,SEARCH("pF",H5)-1)),
 IF(ISNUMBER(SEARCH("nF",H5)), VALUE(LEFT(H5,SEARCH("nF",H5)-1))*1000,
 IF(ISNUMBER(SEARCH("uF",H5)), VALUE(LEFT(H5,SEARCH("uF",H5)-1))*1000000,"")))</f>
        <v>0.2</v>
      </c>
      <c r="J5" s="19">
        <v>250</v>
      </c>
      <c r="K5" s="23" t="s">
        <v>187</v>
      </c>
      <c r="L5" s="23"/>
      <c r="M5" s="3" t="s">
        <v>503</v>
      </c>
      <c r="N5" s="23" t="s">
        <v>504</v>
      </c>
      <c r="O5" s="3"/>
      <c r="P5" s="3" t="s">
        <v>187</v>
      </c>
      <c r="Q5" s="38" t="s">
        <v>84</v>
      </c>
      <c r="S5">
        <v>0</v>
      </c>
      <c r="U5" t="s">
        <v>7</v>
      </c>
      <c r="X5" t="s">
        <v>46</v>
      </c>
      <c r="Z5">
        <v>5</v>
      </c>
      <c r="AB5" t="s">
        <v>26</v>
      </c>
      <c r="AL5" t="s">
        <v>13</v>
      </c>
      <c r="AM5" t="s">
        <v>151</v>
      </c>
      <c r="AN5" s="47" t="s">
        <v>625</v>
      </c>
      <c r="AO5">
        <v>9</v>
      </c>
      <c r="AP5" t="s">
        <v>404</v>
      </c>
      <c r="AQ5" t="s">
        <v>405</v>
      </c>
      <c r="AR5" t="s">
        <v>398</v>
      </c>
      <c r="AS5" s="3" t="s">
        <v>196</v>
      </c>
      <c r="AT5" s="19" t="s">
        <v>495</v>
      </c>
      <c r="AU5" s="23" t="s">
        <v>542</v>
      </c>
      <c r="AV5">
        <v>220</v>
      </c>
      <c r="AY5" s="13" t="s">
        <v>205</v>
      </c>
    </row>
    <row r="6" spans="1:51">
      <c r="A6" t="s">
        <v>320</v>
      </c>
      <c r="B6">
        <v>0</v>
      </c>
      <c r="C6">
        <f t="shared" si="0"/>
        <v>0</v>
      </c>
      <c r="E6" s="13" t="s">
        <v>321</v>
      </c>
      <c r="F6" s="13"/>
      <c r="G6" s="5" t="s">
        <v>580</v>
      </c>
      <c r="H6" s="13" t="s">
        <v>581</v>
      </c>
      <c r="I6" s="22">
        <f t="shared" si="1"/>
        <v>0.2</v>
      </c>
      <c r="J6" s="4"/>
      <c r="K6" s="13">
        <v>603</v>
      </c>
      <c r="L6" s="13"/>
      <c r="M6" s="17" t="s">
        <v>505</v>
      </c>
      <c r="N6" s="23" t="s">
        <v>506</v>
      </c>
      <c r="O6" s="3"/>
      <c r="Q6" s="38" t="s">
        <v>645</v>
      </c>
      <c r="R6" t="s">
        <v>640</v>
      </c>
      <c r="S6">
        <v>10</v>
      </c>
      <c r="U6" t="s">
        <v>15</v>
      </c>
      <c r="X6" t="s">
        <v>47</v>
      </c>
      <c r="Z6">
        <v>5</v>
      </c>
      <c r="AB6" t="s">
        <v>27</v>
      </c>
      <c r="AL6" t="s">
        <v>17</v>
      </c>
      <c r="AM6" t="s">
        <v>152</v>
      </c>
      <c r="AO6">
        <v>30</v>
      </c>
      <c r="AP6" t="s">
        <v>406</v>
      </c>
      <c r="AQ6" t="s">
        <v>407</v>
      </c>
      <c r="AR6" t="s">
        <v>408</v>
      </c>
      <c r="AS6" s="3" t="s">
        <v>196</v>
      </c>
      <c r="AT6" s="19" t="s">
        <v>496</v>
      </c>
      <c r="AU6" s="19" t="s">
        <v>507</v>
      </c>
      <c r="AV6">
        <v>220</v>
      </c>
      <c r="AY6" s="13" t="s">
        <v>205</v>
      </c>
    </row>
    <row r="7" spans="1:51">
      <c r="A7" t="s">
        <v>312</v>
      </c>
      <c r="B7">
        <v>4.12</v>
      </c>
      <c r="C7">
        <f t="shared" si="0"/>
        <v>4.12</v>
      </c>
      <c r="E7" s="14" t="s">
        <v>311</v>
      </c>
      <c r="F7" s="14"/>
      <c r="G7" s="5"/>
      <c r="H7" s="19" t="s">
        <v>477</v>
      </c>
      <c r="I7" s="22">
        <f t="shared" si="1"/>
        <v>0.3</v>
      </c>
      <c r="J7" s="19">
        <v>250</v>
      </c>
      <c r="K7" s="23" t="s">
        <v>187</v>
      </c>
      <c r="L7" s="23"/>
      <c r="M7" t="s">
        <v>508</v>
      </c>
      <c r="N7" s="19" t="s">
        <v>509</v>
      </c>
      <c r="Q7" s="38" t="s">
        <v>646</v>
      </c>
      <c r="R7" t="s">
        <v>640</v>
      </c>
      <c r="S7">
        <v>10</v>
      </c>
      <c r="U7" t="s">
        <v>16</v>
      </c>
      <c r="X7" t="s">
        <v>48</v>
      </c>
      <c r="Z7">
        <v>5</v>
      </c>
      <c r="AB7" t="s">
        <v>29</v>
      </c>
      <c r="AL7" t="s">
        <v>18</v>
      </c>
      <c r="AM7" t="s">
        <v>153</v>
      </c>
      <c r="AN7" s="47" t="s">
        <v>623</v>
      </c>
      <c r="AO7">
        <v>11</v>
      </c>
      <c r="AP7" t="s">
        <v>409</v>
      </c>
      <c r="AQ7" t="s">
        <v>410</v>
      </c>
      <c r="AR7" t="s">
        <v>370</v>
      </c>
      <c r="AS7" s="3" t="s">
        <v>196</v>
      </c>
      <c r="AT7" s="19" t="s">
        <v>497</v>
      </c>
    </row>
    <row r="8" spans="1:51">
      <c r="A8" t="s">
        <v>313</v>
      </c>
      <c r="B8">
        <v>4.99</v>
      </c>
      <c r="C8">
        <f t="shared" si="0"/>
        <v>4.99</v>
      </c>
      <c r="E8" s="14" t="s">
        <v>311</v>
      </c>
      <c r="F8" s="14"/>
      <c r="G8" s="5" t="s">
        <v>476</v>
      </c>
      <c r="H8" s="14" t="s">
        <v>582</v>
      </c>
      <c r="I8" s="22">
        <f t="shared" si="1"/>
        <v>0.3</v>
      </c>
      <c r="J8" s="5"/>
      <c r="K8" s="13">
        <v>603</v>
      </c>
      <c r="L8" s="13"/>
      <c r="M8" s="3" t="s">
        <v>510</v>
      </c>
      <c r="N8" s="23" t="s">
        <v>511</v>
      </c>
      <c r="O8" s="3"/>
      <c r="Q8" s="38" t="s">
        <v>650</v>
      </c>
      <c r="S8">
        <v>2</v>
      </c>
      <c r="U8" t="s">
        <v>60</v>
      </c>
      <c r="X8" t="s">
        <v>49</v>
      </c>
      <c r="Z8">
        <v>5</v>
      </c>
      <c r="AB8" t="s">
        <v>30</v>
      </c>
      <c r="AL8" t="s">
        <v>20</v>
      </c>
      <c r="AM8" t="s">
        <v>154</v>
      </c>
      <c r="AO8">
        <v>20</v>
      </c>
      <c r="AP8" s="19" t="s">
        <v>483</v>
      </c>
      <c r="AQ8" s="19" t="s">
        <v>488</v>
      </c>
      <c r="AR8" s="19"/>
      <c r="AS8" s="19"/>
      <c r="AT8" s="19" t="s">
        <v>494</v>
      </c>
    </row>
    <row r="9" spans="1:51">
      <c r="B9" s="7">
        <v>10</v>
      </c>
      <c r="C9">
        <f t="shared" si="0"/>
        <v>10</v>
      </c>
      <c r="E9" s="14" t="s">
        <v>187</v>
      </c>
      <c r="F9" s="14"/>
      <c r="G9" s="5"/>
      <c r="H9" s="5" t="s">
        <v>350</v>
      </c>
      <c r="I9" s="1">
        <f t="shared" si="1"/>
        <v>0.9</v>
      </c>
      <c r="J9" s="5" t="s">
        <v>348</v>
      </c>
      <c r="K9" s="17" t="s">
        <v>186</v>
      </c>
      <c r="L9" s="17"/>
      <c r="M9" s="3" t="s">
        <v>512</v>
      </c>
      <c r="N9" s="23" t="s">
        <v>513</v>
      </c>
      <c r="O9" s="3"/>
      <c r="Q9" s="38" t="s">
        <v>651</v>
      </c>
      <c r="R9" t="s">
        <v>623</v>
      </c>
      <c r="S9">
        <v>10</v>
      </c>
      <c r="U9" t="s">
        <v>61</v>
      </c>
      <c r="X9" t="s">
        <v>50</v>
      </c>
      <c r="Z9">
        <v>5</v>
      </c>
      <c r="AB9" t="s">
        <v>31</v>
      </c>
      <c r="AL9" t="s">
        <v>21</v>
      </c>
      <c r="AM9" t="s">
        <v>155</v>
      </c>
      <c r="AO9">
        <v>2</v>
      </c>
      <c r="AP9" s="19" t="s">
        <v>484</v>
      </c>
      <c r="AQ9" s="19" t="s">
        <v>407</v>
      </c>
      <c r="AR9" s="19" t="s">
        <v>401</v>
      </c>
      <c r="AS9" s="19">
        <v>1206</v>
      </c>
      <c r="AT9" s="19" t="s">
        <v>498</v>
      </c>
    </row>
    <row r="10" spans="1:51">
      <c r="A10" t="s">
        <v>295</v>
      </c>
      <c r="B10" s="2">
        <v>13</v>
      </c>
      <c r="C10">
        <f t="shared" si="0"/>
        <v>13</v>
      </c>
      <c r="E10" s="14" t="s">
        <v>293</v>
      </c>
      <c r="F10" s="14"/>
      <c r="G10" s="4"/>
      <c r="H10" s="19" t="s">
        <v>479</v>
      </c>
      <c r="I10" s="22">
        <f t="shared" si="1"/>
        <v>0.9</v>
      </c>
      <c r="J10" s="19">
        <v>250</v>
      </c>
      <c r="K10" s="23" t="s">
        <v>187</v>
      </c>
      <c r="L10" s="23"/>
      <c r="M10" s="3" t="s">
        <v>514</v>
      </c>
      <c r="N10" s="23" t="s">
        <v>515</v>
      </c>
      <c r="O10" s="3"/>
      <c r="Q10" s="38" t="s">
        <v>652</v>
      </c>
      <c r="R10" t="s">
        <v>640</v>
      </c>
      <c r="S10">
        <v>20</v>
      </c>
      <c r="U10" t="s">
        <v>68</v>
      </c>
      <c r="X10" t="s">
        <v>83</v>
      </c>
      <c r="AB10" t="s">
        <v>74</v>
      </c>
      <c r="AL10" t="s">
        <v>28</v>
      </c>
      <c r="AM10" t="s">
        <v>156</v>
      </c>
      <c r="AO10">
        <v>20</v>
      </c>
      <c r="AP10" s="19" t="s">
        <v>485</v>
      </c>
      <c r="AQ10" s="19" t="s">
        <v>489</v>
      </c>
      <c r="AR10" s="19" t="s">
        <v>398</v>
      </c>
      <c r="AS10" s="19">
        <v>1206</v>
      </c>
      <c r="AT10" s="19" t="s">
        <v>499</v>
      </c>
    </row>
    <row r="11" spans="1:51">
      <c r="B11" s="7">
        <v>15</v>
      </c>
      <c r="C11">
        <f t="shared" si="0"/>
        <v>15</v>
      </c>
      <c r="E11" s="14" t="s">
        <v>189</v>
      </c>
      <c r="F11" s="14"/>
      <c r="G11" s="5" t="s">
        <v>478</v>
      </c>
      <c r="H11" s="14" t="s">
        <v>583</v>
      </c>
      <c r="I11" s="22">
        <f t="shared" si="1"/>
        <v>0.9</v>
      </c>
      <c r="J11" s="5"/>
      <c r="K11" s="13" t="s">
        <v>187</v>
      </c>
      <c r="L11" s="13"/>
      <c r="M11" s="5" t="s">
        <v>516</v>
      </c>
      <c r="N11" s="32" t="s">
        <v>517</v>
      </c>
      <c r="Q11" s="38" t="s">
        <v>653</v>
      </c>
      <c r="R11" t="s">
        <v>623</v>
      </c>
      <c r="S11">
        <v>10</v>
      </c>
      <c r="U11" t="s">
        <v>85</v>
      </c>
      <c r="X11" t="s">
        <v>632</v>
      </c>
      <c r="Y11" t="s">
        <v>640</v>
      </c>
      <c r="Z11">
        <v>30</v>
      </c>
      <c r="AB11" t="s">
        <v>75</v>
      </c>
      <c r="AL11" t="s">
        <v>32</v>
      </c>
      <c r="AM11" t="s">
        <v>157</v>
      </c>
      <c r="AO11" t="s">
        <v>660</v>
      </c>
      <c r="AP11" s="19" t="s">
        <v>486</v>
      </c>
      <c r="AQ11" s="19" t="s">
        <v>489</v>
      </c>
      <c r="AR11" s="19" t="s">
        <v>401</v>
      </c>
      <c r="AS11" s="19">
        <v>1206</v>
      </c>
      <c r="AT11" s="19" t="s">
        <v>492</v>
      </c>
    </row>
    <row r="12" spans="1:51">
      <c r="B12" s="7">
        <v>16.5</v>
      </c>
      <c r="C12">
        <f t="shared" si="0"/>
        <v>16.5</v>
      </c>
      <c r="E12" s="14" t="s">
        <v>186</v>
      </c>
      <c r="F12" s="14"/>
      <c r="G12" s="19" t="s">
        <v>349</v>
      </c>
      <c r="H12" s="14" t="s">
        <v>583</v>
      </c>
      <c r="I12" s="22">
        <f>IF(ISNUMBER(SEARCH("pF",H12)), VALUE(LEFT(H12,SEARCH("pF",H12)-1)),
 IF(ISNUMBER(SEARCH("nF",H12)), VALUE(LEFT(H12,SEARCH("nF",H12)-1))*1000,
 IF(ISNUMBER(SEARCH("µF",H12)), VALUE(LEFT(H12,SEARCH("µF",H12)-1))*1000000,"")))</f>
        <v>0.9</v>
      </c>
      <c r="J12" s="5"/>
      <c r="K12" s="13">
        <v>402</v>
      </c>
      <c r="L12" s="13"/>
      <c r="M12" t="s">
        <v>518</v>
      </c>
      <c r="N12" s="19" t="s">
        <v>511</v>
      </c>
      <c r="O12" s="19" t="s">
        <v>520</v>
      </c>
      <c r="Q12" s="38" t="s">
        <v>654</v>
      </c>
      <c r="R12" t="s">
        <v>655</v>
      </c>
      <c r="S12">
        <v>60</v>
      </c>
      <c r="T12" t="s">
        <v>233</v>
      </c>
      <c r="U12" t="s">
        <v>232</v>
      </c>
      <c r="X12" t="s">
        <v>637</v>
      </c>
      <c r="Y12" t="s">
        <v>640</v>
      </c>
      <c r="Z12">
        <v>9</v>
      </c>
      <c r="AB12" t="s">
        <v>76</v>
      </c>
      <c r="AL12" t="s">
        <v>33</v>
      </c>
      <c r="AM12" t="s">
        <v>158</v>
      </c>
      <c r="AP12" s="19" t="s">
        <v>487</v>
      </c>
      <c r="AQ12" s="19" t="s">
        <v>490</v>
      </c>
      <c r="AR12" s="19" t="s">
        <v>401</v>
      </c>
      <c r="AS12" s="19">
        <v>1206</v>
      </c>
      <c r="AT12" s="19" t="s">
        <v>500</v>
      </c>
    </row>
    <row r="13" spans="1:51">
      <c r="B13" s="7">
        <v>24.9</v>
      </c>
      <c r="C13">
        <f t="shared" si="0"/>
        <v>24.9</v>
      </c>
      <c r="E13" s="14" t="s">
        <v>196</v>
      </c>
      <c r="F13" s="14"/>
      <c r="G13" s="5"/>
      <c r="H13" s="9" t="s">
        <v>199</v>
      </c>
      <c r="I13" s="1">
        <f>IF(ISNUMBER(SEARCH("pF",H13)), VALUE(LEFT(H13,SEARCH("pF",H13)-1)),
 IF(ISNUMBER(SEARCH("nF",H13)), VALUE(LEFT(H13,SEARCH("nF",H13)-1))*1000,
 IF(ISNUMBER(SEARCH("uF",H13)), VALUE(LEFT(H13,SEARCH("uF",H13)-1))*1000000,"")))</f>
        <v>1</v>
      </c>
      <c r="J13" s="5"/>
      <c r="K13" s="3" t="s">
        <v>186</v>
      </c>
      <c r="L13" s="3"/>
      <c r="M13" s="5" t="s">
        <v>521</v>
      </c>
      <c r="N13" s="32" t="s">
        <v>522</v>
      </c>
      <c r="O13" s="32" t="s">
        <v>523</v>
      </c>
      <c r="Q13" s="32" t="s">
        <v>656</v>
      </c>
      <c r="R13" t="s">
        <v>655</v>
      </c>
      <c r="S13">
        <v>15</v>
      </c>
      <c r="T13" t="s">
        <v>234</v>
      </c>
      <c r="U13" t="s">
        <v>235</v>
      </c>
      <c r="X13" t="s">
        <v>638</v>
      </c>
      <c r="Y13" t="s">
        <v>640</v>
      </c>
      <c r="Z13">
        <v>15</v>
      </c>
      <c r="AB13" t="s">
        <v>81</v>
      </c>
      <c r="AM13" t="s">
        <v>159</v>
      </c>
      <c r="AT13" s="19" t="s">
        <v>492</v>
      </c>
    </row>
    <row r="14" spans="1:51">
      <c r="A14" t="s">
        <v>294</v>
      </c>
      <c r="B14" s="2">
        <v>24.9</v>
      </c>
      <c r="C14">
        <f t="shared" si="0"/>
        <v>24.9</v>
      </c>
      <c r="E14" s="14" t="s">
        <v>293</v>
      </c>
      <c r="F14" s="14"/>
      <c r="G14" s="5"/>
      <c r="H14" s="9" t="s">
        <v>199</v>
      </c>
      <c r="I14" s="1">
        <f>IF(ISNUMBER(SEARCH("pF",H14)), VALUE(LEFT(H14,SEARCH("pF",H14)-1)),
 IF(ISNUMBER(SEARCH("nF",H14)), VALUE(LEFT(H14,SEARCH("nF",H14)-1))*1000,
 IF(ISNUMBER(SEARCH("uF",H14)), VALUE(LEFT(H14,SEARCH("uF",H14)-1))*1000000,"")))</f>
        <v>1</v>
      </c>
      <c r="J14" s="5"/>
      <c r="K14" s="3" t="s">
        <v>186</v>
      </c>
      <c r="L14" s="3"/>
      <c r="M14" s="3" t="s">
        <v>524</v>
      </c>
      <c r="N14" s="3" t="s">
        <v>525</v>
      </c>
      <c r="O14" s="3" t="s">
        <v>526</v>
      </c>
      <c r="Q14" s="38" t="s">
        <v>657</v>
      </c>
      <c r="S14">
        <v>3</v>
      </c>
      <c r="T14" t="s">
        <v>236</v>
      </c>
      <c r="U14" t="s">
        <v>237</v>
      </c>
      <c r="X14" t="s">
        <v>639</v>
      </c>
      <c r="Y14" t="s">
        <v>640</v>
      </c>
      <c r="Z14">
        <v>20</v>
      </c>
      <c r="AB14" t="s">
        <v>86</v>
      </c>
      <c r="AL14" t="s">
        <v>35</v>
      </c>
      <c r="AM14" t="s">
        <v>160</v>
      </c>
      <c r="AO14">
        <v>2</v>
      </c>
      <c r="AT14" s="19" t="s">
        <v>501</v>
      </c>
    </row>
    <row r="15" spans="1:51">
      <c r="B15" s="7">
        <v>27.4</v>
      </c>
      <c r="C15">
        <f t="shared" si="0"/>
        <v>27.4</v>
      </c>
      <c r="E15" s="14" t="s">
        <v>195</v>
      </c>
      <c r="F15" s="14"/>
      <c r="G15" s="5"/>
      <c r="H15" s="5" t="s">
        <v>424</v>
      </c>
      <c r="I15" s="1">
        <f>IF(ISNUMBER(SEARCH("pF",H15)), VALUE(LEFT(H15,SEARCH("pF",H15)-1)),
 IF(ISNUMBER(SEARCH("nF",H15)), VALUE(LEFT(H15,SEARCH("nF",H15)-1))*1000,
 IF(ISNUMBER(SEARCH("uF",H15)), VALUE(LEFT(H15,SEARCH("uF",H15)-1))*1000000,"")))</f>
        <v>1</v>
      </c>
      <c r="J15" s="5" t="s">
        <v>348</v>
      </c>
      <c r="M15" t="s">
        <v>503</v>
      </c>
      <c r="N15" t="s">
        <v>527</v>
      </c>
      <c r="O15" t="s">
        <v>523</v>
      </c>
      <c r="T15" t="s">
        <v>238</v>
      </c>
      <c r="U15" t="s">
        <v>239</v>
      </c>
      <c r="X15" t="s">
        <v>642</v>
      </c>
      <c r="Y15" t="s">
        <v>623</v>
      </c>
      <c r="Z15">
        <v>7</v>
      </c>
      <c r="AB15" t="s">
        <v>23</v>
      </c>
      <c r="AL15" t="s">
        <v>36</v>
      </c>
      <c r="AM15" t="s">
        <v>161</v>
      </c>
      <c r="AO15">
        <v>5</v>
      </c>
    </row>
    <row r="16" spans="1:51">
      <c r="A16" t="s">
        <v>258</v>
      </c>
      <c r="B16" s="2">
        <v>40.200000000000003</v>
      </c>
      <c r="C16" s="2">
        <f t="shared" si="0"/>
        <v>40.200000000000003</v>
      </c>
      <c r="E16" s="13" t="s">
        <v>187</v>
      </c>
      <c r="F16" s="13"/>
      <c r="G16" s="19" t="s">
        <v>423</v>
      </c>
      <c r="H16" s="15" t="s">
        <v>613</v>
      </c>
      <c r="I16" s="22">
        <f>IF(ISNUMBER(SEARCH("pF",H16)), VALUE(LEFT(H16,SEARCH("pF",H16)-1)),
 IF(ISNUMBER(SEARCH("nF",H16)), VALUE(LEFT(H16,SEARCH("nF",H16)-1))*1000,
 IF(ISNUMBER(SEARCH("µF",H16)), VALUE(LEFT(H16,SEARCH("µF",H16)-1))*1000000,"")))</f>
        <v>1</v>
      </c>
      <c r="J16" s="4"/>
      <c r="K16" s="15" t="s">
        <v>612</v>
      </c>
      <c r="L16" s="15"/>
      <c r="M16" s="23" t="s">
        <v>529</v>
      </c>
      <c r="N16" s="23" t="s">
        <v>530</v>
      </c>
      <c r="O16" s="23" t="s">
        <v>531</v>
      </c>
      <c r="P16" s="3" t="s">
        <v>187</v>
      </c>
      <c r="T16" t="s">
        <v>240</v>
      </c>
      <c r="U16" t="s">
        <v>241</v>
      </c>
      <c r="X16" t="s">
        <v>643</v>
      </c>
      <c r="Y16" t="s">
        <v>623</v>
      </c>
      <c r="Z16">
        <v>15</v>
      </c>
      <c r="AB16" t="s">
        <v>87</v>
      </c>
      <c r="AM16" t="s">
        <v>164</v>
      </c>
      <c r="AO16">
        <v>4</v>
      </c>
    </row>
    <row r="17" spans="1:41">
      <c r="A17" t="s">
        <v>252</v>
      </c>
      <c r="B17" s="6">
        <v>56</v>
      </c>
      <c r="C17" s="6">
        <f t="shared" si="0"/>
        <v>56</v>
      </c>
      <c r="E17" s="13" t="s">
        <v>187</v>
      </c>
      <c r="F17" s="13"/>
      <c r="G17" s="5"/>
      <c r="H17" s="5" t="s">
        <v>352</v>
      </c>
      <c r="I17" s="1">
        <f>IF(ISNUMBER(SEARCH("pF",H17)), VALUE(LEFT(H17,SEARCH("pF",H17)-1)),
 IF(ISNUMBER(SEARCH("nF",H17)), VALUE(LEFT(H17,SEARCH("nF",H17)-1))*1000,
 IF(ISNUMBER(SEARCH("uF",H17)), VALUE(LEFT(H17,SEARCH("uF",H17)-1))*1000000,"")))</f>
        <v>1.8</v>
      </c>
      <c r="J17" s="5" t="s">
        <v>348</v>
      </c>
      <c r="K17" s="3" t="s">
        <v>186</v>
      </c>
      <c r="L17" s="3"/>
      <c r="M17" s="3" t="s">
        <v>532</v>
      </c>
      <c r="N17" s="23" t="s">
        <v>533</v>
      </c>
      <c r="O17" s="23" t="s">
        <v>534</v>
      </c>
      <c r="P17" s="3" t="s">
        <v>187</v>
      </c>
      <c r="T17" t="s">
        <v>242</v>
      </c>
      <c r="U17" t="s">
        <v>243</v>
      </c>
      <c r="X17" t="s">
        <v>643</v>
      </c>
      <c r="Y17" t="s">
        <v>623</v>
      </c>
      <c r="Z17">
        <v>15</v>
      </c>
      <c r="AB17" t="s">
        <v>88</v>
      </c>
      <c r="AL17" t="s">
        <v>38</v>
      </c>
      <c r="AM17" t="s">
        <v>162</v>
      </c>
      <c r="AO17">
        <v>40</v>
      </c>
    </row>
    <row r="18" spans="1:41">
      <c r="A18" t="s">
        <v>292</v>
      </c>
      <c r="B18" s="6">
        <v>75</v>
      </c>
      <c r="C18">
        <f t="shared" si="0"/>
        <v>75</v>
      </c>
      <c r="E18" s="14" t="s">
        <v>293</v>
      </c>
      <c r="F18" s="14"/>
      <c r="G18" s="19" t="s">
        <v>351</v>
      </c>
      <c r="H18" s="14" t="s">
        <v>600</v>
      </c>
      <c r="I18" s="22">
        <f>IF(ISNUMBER(SEARCH("pF",H18)), VALUE(LEFT(H18,SEARCH("pF",H18)-1)),
 IF(ISNUMBER(SEARCH("nF",H18)), VALUE(LEFT(H18,SEARCH("nF",H18)-1))*1000,
 IF(ISNUMBER(SEARCH("µF",H18)), VALUE(LEFT(H18,SEARCH("µF",H18)-1))*1000000,"")))</f>
        <v>1.8</v>
      </c>
      <c r="J18" s="5"/>
      <c r="K18" s="15">
        <v>402</v>
      </c>
      <c r="L18" s="15"/>
      <c r="M18" s="3" t="s">
        <v>535</v>
      </c>
      <c r="N18" s="23" t="s">
        <v>536</v>
      </c>
      <c r="O18" s="23" t="s">
        <v>523</v>
      </c>
      <c r="T18" t="s">
        <v>244</v>
      </c>
      <c r="U18" t="s">
        <v>245</v>
      </c>
      <c r="X18" t="s">
        <v>644</v>
      </c>
      <c r="Y18" t="s">
        <v>640</v>
      </c>
      <c r="Z18">
        <v>30</v>
      </c>
      <c r="AB18" t="s">
        <v>89</v>
      </c>
      <c r="AL18" t="s">
        <v>56</v>
      </c>
      <c r="AM18" t="s">
        <v>163</v>
      </c>
      <c r="AO18">
        <v>9</v>
      </c>
    </row>
    <row r="19" spans="1:41">
      <c r="A19" t="s">
        <v>319</v>
      </c>
      <c r="B19">
        <v>82</v>
      </c>
      <c r="C19">
        <f t="shared" si="0"/>
        <v>82</v>
      </c>
      <c r="E19" s="15">
        <v>1206</v>
      </c>
      <c r="G19" s="5"/>
      <c r="H19" s="9" t="s">
        <v>204</v>
      </c>
      <c r="I19" s="1">
        <f>IF(ISNUMBER(SEARCH("pF",H19)), VALUE(LEFT(H19,SEARCH("pF",H19)-1)),
 IF(ISNUMBER(SEARCH("nF",H19)), VALUE(LEFT(H19,SEARCH("nF",H19)-1))*1000,
 IF(ISNUMBER(SEARCH("uF",H19)), VALUE(LEFT(H19,SEARCH("uF",H19)-1))*1000000,"")))</f>
        <v>2.2000000000000002</v>
      </c>
      <c r="J19" s="5"/>
      <c r="K19" s="3" t="s">
        <v>187</v>
      </c>
      <c r="L19" s="3"/>
      <c r="M19" s="3" t="s">
        <v>537</v>
      </c>
      <c r="N19" s="23" t="s">
        <v>538</v>
      </c>
      <c r="O19" s="23" t="s">
        <v>539</v>
      </c>
      <c r="T19" s="3" t="s">
        <v>247</v>
      </c>
      <c r="U19" t="s">
        <v>246</v>
      </c>
      <c r="X19" t="s">
        <v>647</v>
      </c>
      <c r="Y19" t="s">
        <v>623</v>
      </c>
      <c r="Z19">
        <v>15</v>
      </c>
      <c r="AB19" t="s">
        <v>90</v>
      </c>
      <c r="AL19" t="s">
        <v>57</v>
      </c>
      <c r="AM19" t="s">
        <v>164</v>
      </c>
    </row>
    <row r="20" spans="1:41">
      <c r="A20" t="s">
        <v>315</v>
      </c>
      <c r="B20">
        <v>88.7</v>
      </c>
      <c r="C20">
        <f t="shared" si="0"/>
        <v>88.7</v>
      </c>
      <c r="E20" s="14" t="s">
        <v>311</v>
      </c>
      <c r="F20" s="14"/>
      <c r="G20" s="5" t="s">
        <v>353</v>
      </c>
      <c r="H20" s="21" t="s">
        <v>587</v>
      </c>
      <c r="I20" s="22">
        <f>IF(ISNUMBER(SEARCH("pF",H20)), VALUE(LEFT(H20,SEARCH("pF",H20)-1)),
 IF(ISNUMBER(SEARCH("nF",H20)), VALUE(LEFT(H20,SEARCH("nF",H20)-1))*1000,
 IF(ISNUMBER(SEARCH("µF",H20)), VALUE(LEFT(H20,SEARCH("µF",H20)-1))*1000000,"")))</f>
        <v>3</v>
      </c>
      <c r="J20" s="19"/>
      <c r="K20" s="20">
        <v>402</v>
      </c>
      <c r="L20" s="20"/>
      <c r="M20" s="3" t="s">
        <v>503</v>
      </c>
      <c r="N20" s="23" t="s">
        <v>527</v>
      </c>
      <c r="O20" s="23" t="s">
        <v>540</v>
      </c>
      <c r="T20" t="s">
        <v>248</v>
      </c>
      <c r="U20" t="s">
        <v>249</v>
      </c>
      <c r="X20" t="s">
        <v>642</v>
      </c>
      <c r="Y20" t="s">
        <v>623</v>
      </c>
      <c r="Z20">
        <v>150</v>
      </c>
      <c r="AB20" t="s">
        <v>106</v>
      </c>
      <c r="AL20" t="s">
        <v>58</v>
      </c>
      <c r="AM20" t="s">
        <v>620</v>
      </c>
      <c r="AN20" s="47" t="s">
        <v>623</v>
      </c>
      <c r="AO20">
        <v>8</v>
      </c>
    </row>
    <row r="21" spans="1:41">
      <c r="B21" s="7">
        <v>91</v>
      </c>
      <c r="C21">
        <f t="shared" si="0"/>
        <v>91</v>
      </c>
      <c r="E21" s="14" t="s">
        <v>187</v>
      </c>
      <c r="F21" s="14"/>
      <c r="G21" s="5"/>
      <c r="H21" s="5" t="s">
        <v>354</v>
      </c>
      <c r="I21" s="1">
        <f t="shared" ref="I21:I27" si="2">IF(ISNUMBER(SEARCH("pF",H21)), VALUE(LEFT(H21,SEARCH("pF",H21)-1)),
 IF(ISNUMBER(SEARCH("nF",H21)), VALUE(LEFT(H21,SEARCH("nF",H21)-1))*1000,
 IF(ISNUMBER(SEARCH("uF",H21)), VALUE(LEFT(H21,SEARCH("uF",H21)-1))*1000000,"")))</f>
        <v>3.9</v>
      </c>
      <c r="J21" s="5" t="s">
        <v>355</v>
      </c>
      <c r="K21" s="3" t="s">
        <v>186</v>
      </c>
      <c r="L21" s="3"/>
      <c r="M21" s="17" t="s">
        <v>541</v>
      </c>
      <c r="N21" s="3"/>
      <c r="O21" s="3"/>
      <c r="T21" t="s">
        <v>250</v>
      </c>
      <c r="U21" t="s">
        <v>250</v>
      </c>
      <c r="X21" t="s">
        <v>648</v>
      </c>
      <c r="Y21" t="s">
        <v>640</v>
      </c>
      <c r="Z21">
        <v>10</v>
      </c>
      <c r="AB21" t="s">
        <v>91</v>
      </c>
      <c r="AL21" t="s">
        <v>37</v>
      </c>
      <c r="AM21" t="s">
        <v>165</v>
      </c>
      <c r="AO21">
        <v>43</v>
      </c>
    </row>
    <row r="22" spans="1:41">
      <c r="B22" s="7">
        <v>100</v>
      </c>
      <c r="C22">
        <f t="shared" si="0"/>
        <v>100</v>
      </c>
      <c r="E22" s="14" t="s">
        <v>186</v>
      </c>
      <c r="F22" s="14"/>
      <c r="G22" s="4"/>
      <c r="H22" s="5" t="s">
        <v>361</v>
      </c>
      <c r="I22" s="1">
        <f t="shared" si="2"/>
        <v>4.7</v>
      </c>
      <c r="J22" s="5" t="s">
        <v>362</v>
      </c>
      <c r="K22" s="17" t="s">
        <v>187</v>
      </c>
      <c r="L22" s="17"/>
      <c r="M22" s="3" t="s">
        <v>543</v>
      </c>
      <c r="N22" s="3" t="s">
        <v>515</v>
      </c>
      <c r="O22" s="3" t="s">
        <v>544</v>
      </c>
      <c r="X22" t="s">
        <v>649</v>
      </c>
      <c r="Z22">
        <v>2</v>
      </c>
      <c r="AB22" t="s">
        <v>92</v>
      </c>
      <c r="AL22" t="s">
        <v>59</v>
      </c>
      <c r="AM22" t="s">
        <v>166</v>
      </c>
      <c r="AO22">
        <v>1</v>
      </c>
    </row>
    <row r="23" spans="1:41">
      <c r="A23" t="s">
        <v>299</v>
      </c>
      <c r="B23" s="2">
        <v>100</v>
      </c>
      <c r="C23">
        <f t="shared" si="0"/>
        <v>100</v>
      </c>
      <c r="E23" s="14" t="s">
        <v>293</v>
      </c>
      <c r="F23" s="14"/>
      <c r="G23" s="5"/>
      <c r="H23" s="19" t="s">
        <v>458</v>
      </c>
      <c r="I23" s="22">
        <f t="shared" si="2"/>
        <v>4.7</v>
      </c>
      <c r="J23" s="22">
        <v>250</v>
      </c>
      <c r="K23" s="24" t="s">
        <v>187</v>
      </c>
      <c r="L23" s="24"/>
      <c r="M23" s="3" t="s">
        <v>545</v>
      </c>
      <c r="N23" s="3" t="s">
        <v>546</v>
      </c>
      <c r="O23" s="3" t="s">
        <v>547</v>
      </c>
      <c r="P23" s="3" t="s">
        <v>187</v>
      </c>
      <c r="X23" t="s">
        <v>644</v>
      </c>
      <c r="Y23" t="s">
        <v>623</v>
      </c>
      <c r="Z23">
        <v>15</v>
      </c>
      <c r="AB23" t="s">
        <v>93</v>
      </c>
      <c r="AL23" t="s">
        <v>63</v>
      </c>
      <c r="AM23" t="s">
        <v>167</v>
      </c>
      <c r="AO23">
        <v>1</v>
      </c>
    </row>
    <row r="24" spans="1:41">
      <c r="A24" t="s">
        <v>310</v>
      </c>
      <c r="B24">
        <v>100</v>
      </c>
      <c r="C24">
        <f t="shared" si="0"/>
        <v>100</v>
      </c>
      <c r="E24" s="14" t="s">
        <v>311</v>
      </c>
      <c r="F24" s="14"/>
      <c r="G24" s="5" t="s">
        <v>457</v>
      </c>
      <c r="H24" s="21" t="s">
        <v>584</v>
      </c>
      <c r="I24" s="22">
        <f t="shared" si="2"/>
        <v>4.7</v>
      </c>
      <c r="J24" s="19"/>
      <c r="K24" s="20">
        <v>603</v>
      </c>
      <c r="L24" s="20"/>
      <c r="M24" s="3" t="s">
        <v>554</v>
      </c>
      <c r="N24" s="3">
        <v>2.2000000000000002</v>
      </c>
      <c r="O24" s="3">
        <v>0.7</v>
      </c>
      <c r="P24" s="3" t="s">
        <v>187</v>
      </c>
      <c r="X24" s="19" t="s">
        <v>662</v>
      </c>
      <c r="Y24" s="19" t="s">
        <v>663</v>
      </c>
      <c r="Z24" s="19">
        <v>3</v>
      </c>
      <c r="AB24" t="s">
        <v>94</v>
      </c>
      <c r="AL24" t="s">
        <v>69</v>
      </c>
      <c r="AM24" t="s">
        <v>168</v>
      </c>
      <c r="AO24">
        <v>3</v>
      </c>
    </row>
    <row r="25" spans="1:41">
      <c r="A25" t="s">
        <v>268</v>
      </c>
      <c r="B25">
        <v>133</v>
      </c>
      <c r="C25" s="2">
        <f t="shared" si="0"/>
        <v>133</v>
      </c>
      <c r="E25" s="13" t="s">
        <v>187</v>
      </c>
      <c r="F25" s="13"/>
      <c r="G25" s="5" t="s">
        <v>360</v>
      </c>
      <c r="H25" s="14" t="s">
        <v>584</v>
      </c>
      <c r="I25" s="22">
        <f t="shared" si="2"/>
        <v>4.7</v>
      </c>
      <c r="J25" s="5"/>
      <c r="K25" s="16">
        <v>603</v>
      </c>
      <c r="L25" s="16"/>
      <c r="M25" s="17" t="s">
        <v>555</v>
      </c>
      <c r="N25" s="3">
        <v>2.2000000000000002</v>
      </c>
      <c r="O25" s="3">
        <v>1.4</v>
      </c>
      <c r="P25" s="3"/>
      <c r="X25" s="19" t="s">
        <v>664</v>
      </c>
      <c r="Y25" s="19" t="s">
        <v>663</v>
      </c>
      <c r="Z25" s="19">
        <v>4</v>
      </c>
      <c r="AB25" t="s">
        <v>95</v>
      </c>
      <c r="AL25" t="s">
        <v>71</v>
      </c>
      <c r="AM25" t="s">
        <v>169</v>
      </c>
      <c r="AO25">
        <v>1</v>
      </c>
    </row>
    <row r="26" spans="1:41">
      <c r="A26" t="s">
        <v>314</v>
      </c>
      <c r="B26">
        <v>215</v>
      </c>
      <c r="C26">
        <f t="shared" si="0"/>
        <v>215</v>
      </c>
      <c r="E26" s="15">
        <v>1206</v>
      </c>
      <c r="G26" s="5"/>
      <c r="H26" s="19" t="s">
        <v>470</v>
      </c>
      <c r="I26" s="22">
        <f t="shared" si="2"/>
        <v>5.6</v>
      </c>
      <c r="J26" s="19">
        <v>250</v>
      </c>
      <c r="K26" s="23" t="s">
        <v>187</v>
      </c>
      <c r="L26" s="23"/>
      <c r="M26" t="s">
        <v>556</v>
      </c>
      <c r="N26">
        <v>12</v>
      </c>
      <c r="O26">
        <v>0.6</v>
      </c>
      <c r="P26" s="3" t="s">
        <v>187</v>
      </c>
      <c r="X26" s="19" t="s">
        <v>665</v>
      </c>
      <c r="Y26" s="19" t="s">
        <v>666</v>
      </c>
      <c r="Z26" s="19">
        <v>54</v>
      </c>
      <c r="AB26" t="s">
        <v>96</v>
      </c>
      <c r="AL26" t="s">
        <v>416</v>
      </c>
      <c r="AM26" t="s">
        <v>170</v>
      </c>
      <c r="AO26">
        <v>5</v>
      </c>
    </row>
    <row r="27" spans="1:41">
      <c r="A27" t="s">
        <v>316</v>
      </c>
      <c r="B27">
        <v>215</v>
      </c>
      <c r="C27">
        <f t="shared" si="0"/>
        <v>215</v>
      </c>
      <c r="E27" s="14" t="s">
        <v>293</v>
      </c>
      <c r="F27" s="14"/>
      <c r="G27" s="5" t="s">
        <v>481</v>
      </c>
      <c r="H27" s="14" t="s">
        <v>585</v>
      </c>
      <c r="I27" s="22">
        <f t="shared" si="2"/>
        <v>5.6</v>
      </c>
      <c r="J27" s="5"/>
      <c r="K27" s="13">
        <v>603</v>
      </c>
      <c r="L27" s="13"/>
      <c r="M27" s="3" t="s">
        <v>557</v>
      </c>
      <c r="N27" s="3">
        <v>36</v>
      </c>
      <c r="O27" s="3">
        <v>0.4</v>
      </c>
      <c r="P27" s="3"/>
      <c r="X27" s="19" t="s">
        <v>667</v>
      </c>
      <c r="Y27" s="19" t="s">
        <v>663</v>
      </c>
      <c r="Z27" s="19">
        <v>20</v>
      </c>
      <c r="AB27" t="s">
        <v>97</v>
      </c>
      <c r="AM27" t="s">
        <v>171</v>
      </c>
    </row>
    <row r="28" spans="1:41">
      <c r="A28" t="s">
        <v>296</v>
      </c>
      <c r="B28" s="2">
        <v>220</v>
      </c>
      <c r="C28">
        <f t="shared" si="0"/>
        <v>220</v>
      </c>
      <c r="E28" s="14" t="s">
        <v>293</v>
      </c>
      <c r="F28" s="14"/>
      <c r="G28" s="5" t="s">
        <v>469</v>
      </c>
      <c r="H28" s="14" t="s">
        <v>585</v>
      </c>
      <c r="I28" s="22">
        <f>IF(ISNUMBER(SEARCH("pF",H28)), VALUE(LEFT(H28,SEARCH("pF",H28)-1)),
 IF(ISNUMBER(SEARCH("nF",H28)), VALUE(LEFT(H28,SEARCH("nF",H28)-1))*1000,
 IF(ISNUMBER(SEARCH("µF",H28)), VALUE(LEFT(H28,SEARCH("µF",H28)-1))*1000000,"")))</f>
        <v>5.6</v>
      </c>
      <c r="J28" s="5"/>
      <c r="K28" s="16">
        <v>603</v>
      </c>
      <c r="L28" s="16"/>
      <c r="M28" s="3" t="s">
        <v>558</v>
      </c>
      <c r="N28" s="3">
        <v>68</v>
      </c>
      <c r="O28" s="3">
        <v>0.34</v>
      </c>
      <c r="P28" s="3"/>
      <c r="X28" s="19" t="s">
        <v>668</v>
      </c>
      <c r="Y28" s="19" t="s">
        <v>663</v>
      </c>
      <c r="Z28" s="19">
        <v>6</v>
      </c>
      <c r="AB28" t="s">
        <v>98</v>
      </c>
      <c r="AM28" t="s">
        <v>172</v>
      </c>
      <c r="AO28">
        <v>0</v>
      </c>
    </row>
    <row r="29" spans="1:41">
      <c r="A29" t="s">
        <v>257</v>
      </c>
      <c r="B29" s="2">
        <v>240</v>
      </c>
      <c r="C29" s="2">
        <f t="shared" si="0"/>
        <v>240</v>
      </c>
      <c r="E29" s="13" t="s">
        <v>187</v>
      </c>
      <c r="F29" s="13"/>
      <c r="G29" s="5"/>
      <c r="H29" s="19" t="s">
        <v>465</v>
      </c>
      <c r="I29" s="22">
        <f t="shared" ref="I29:I40" si="3">IF(ISNUMBER(SEARCH("pF",H29)), VALUE(LEFT(H29,SEARCH("pF",H29)-1)),
 IF(ISNUMBER(SEARCH("nF",H29)), VALUE(LEFT(H29,SEARCH("nF",H29)-1))*1000,
 IF(ISNUMBER(SEARCH("uF",H29)), VALUE(LEFT(H29,SEARCH("uF",H29)-1))*1000000,"")))</f>
        <v>6.8</v>
      </c>
      <c r="J29" s="19">
        <v>250</v>
      </c>
      <c r="K29" s="23" t="s">
        <v>187</v>
      </c>
      <c r="L29" s="23"/>
      <c r="M29" s="3" t="s">
        <v>559</v>
      </c>
      <c r="N29" s="3">
        <v>150</v>
      </c>
      <c r="O29" s="3">
        <v>0.08</v>
      </c>
      <c r="P29" s="3" t="s">
        <v>186</v>
      </c>
      <c r="X29" s="19" t="s">
        <v>669</v>
      </c>
      <c r="Y29" s="19" t="s">
        <v>670</v>
      </c>
      <c r="Z29" s="19">
        <v>14</v>
      </c>
      <c r="AB29" t="s">
        <v>99</v>
      </c>
      <c r="AM29" t="s">
        <v>173</v>
      </c>
      <c r="AO29">
        <v>5</v>
      </c>
    </row>
    <row r="30" spans="1:41">
      <c r="A30" t="s">
        <v>298</v>
      </c>
      <c r="B30" s="2">
        <v>249</v>
      </c>
      <c r="C30">
        <f t="shared" si="0"/>
        <v>249</v>
      </c>
      <c r="E30" s="15">
        <v>1206</v>
      </c>
      <c r="G30" s="5" t="s">
        <v>464</v>
      </c>
      <c r="H30" s="14" t="s">
        <v>586</v>
      </c>
      <c r="I30" s="22">
        <f t="shared" si="3"/>
        <v>6.8</v>
      </c>
      <c r="J30" s="5"/>
      <c r="K30" s="13">
        <v>603</v>
      </c>
      <c r="L30" s="13"/>
      <c r="M30" s="5" t="s">
        <v>560</v>
      </c>
      <c r="N30">
        <v>22</v>
      </c>
      <c r="O30">
        <v>0.2</v>
      </c>
      <c r="P30" s="3" t="s">
        <v>186</v>
      </c>
      <c r="X30" s="19" t="s">
        <v>671</v>
      </c>
      <c r="Y30" s="19" t="s">
        <v>663</v>
      </c>
      <c r="Z30" s="19">
        <v>15</v>
      </c>
      <c r="AB30" t="s">
        <v>100</v>
      </c>
      <c r="AM30" t="s">
        <v>174</v>
      </c>
      <c r="AO30">
        <v>4</v>
      </c>
    </row>
    <row r="31" spans="1:41">
      <c r="A31" t="s">
        <v>267</v>
      </c>
      <c r="B31">
        <v>287</v>
      </c>
      <c r="C31" s="2">
        <f t="shared" si="0"/>
        <v>287</v>
      </c>
      <c r="E31" s="13" t="s">
        <v>187</v>
      </c>
      <c r="F31" s="13"/>
      <c r="G31" s="5"/>
      <c r="H31" s="9" t="s">
        <v>203</v>
      </c>
      <c r="I31" s="1">
        <f t="shared" si="3"/>
        <v>8.1999999999999993</v>
      </c>
      <c r="J31" s="5"/>
      <c r="K31" s="3" t="s">
        <v>187</v>
      </c>
      <c r="L31" s="3"/>
      <c r="M31" t="s">
        <v>561</v>
      </c>
      <c r="N31">
        <v>27</v>
      </c>
      <c r="O31">
        <v>0.36</v>
      </c>
      <c r="P31" s="3" t="s">
        <v>187</v>
      </c>
      <c r="AB31" t="s">
        <v>101</v>
      </c>
      <c r="AM31" t="s">
        <v>175</v>
      </c>
      <c r="AO31">
        <v>2</v>
      </c>
    </row>
    <row r="32" spans="1:41">
      <c r="B32" s="7">
        <v>300</v>
      </c>
      <c r="C32">
        <f t="shared" si="0"/>
        <v>300</v>
      </c>
      <c r="E32" s="14" t="s">
        <v>195</v>
      </c>
      <c r="F32" s="14"/>
      <c r="G32" s="5"/>
      <c r="H32" s="9" t="s">
        <v>206</v>
      </c>
      <c r="I32" s="1">
        <f t="shared" si="3"/>
        <v>10</v>
      </c>
      <c r="J32" s="5"/>
      <c r="K32" s="3" t="s">
        <v>205</v>
      </c>
      <c r="L32" s="3"/>
      <c r="M32" s="5" t="s">
        <v>562</v>
      </c>
      <c r="N32">
        <v>100</v>
      </c>
      <c r="O32">
        <v>0.22</v>
      </c>
      <c r="P32" s="3" t="s">
        <v>187</v>
      </c>
      <c r="AB32" t="s">
        <v>103</v>
      </c>
      <c r="AM32" t="s">
        <v>176</v>
      </c>
      <c r="AO32">
        <v>3</v>
      </c>
    </row>
    <row r="33" spans="1:41">
      <c r="A33" t="s">
        <v>254</v>
      </c>
      <c r="B33" s="2">
        <v>402</v>
      </c>
      <c r="C33" s="2">
        <f t="shared" si="0"/>
        <v>402</v>
      </c>
      <c r="E33" s="13" t="s">
        <v>187</v>
      </c>
      <c r="F33" s="13"/>
      <c r="G33" s="5"/>
      <c r="H33" s="5" t="s">
        <v>373</v>
      </c>
      <c r="I33" s="1">
        <f t="shared" si="3"/>
        <v>10</v>
      </c>
      <c r="J33" s="5" t="s">
        <v>355</v>
      </c>
      <c r="K33" s="17" t="s">
        <v>205</v>
      </c>
      <c r="L33" s="17"/>
      <c r="M33" s="3" t="s">
        <v>563</v>
      </c>
      <c r="N33" s="3">
        <v>43</v>
      </c>
      <c r="O33" s="3">
        <v>0.38</v>
      </c>
      <c r="P33" s="3"/>
      <c r="AB33" t="s">
        <v>102</v>
      </c>
      <c r="AM33" t="s">
        <v>177</v>
      </c>
      <c r="AO33">
        <v>18</v>
      </c>
    </row>
    <row r="34" spans="1:41">
      <c r="A34" t="s">
        <v>297</v>
      </c>
      <c r="B34" s="2">
        <v>402</v>
      </c>
      <c r="C34">
        <f t="shared" si="0"/>
        <v>402</v>
      </c>
      <c r="E34" s="14" t="s">
        <v>293</v>
      </c>
      <c r="F34" s="14"/>
      <c r="G34" s="5" t="s">
        <v>372</v>
      </c>
      <c r="H34" s="14" t="s">
        <v>579</v>
      </c>
      <c r="I34" s="22">
        <f t="shared" si="3"/>
        <v>10</v>
      </c>
      <c r="J34" s="5"/>
      <c r="K34" s="16">
        <v>805</v>
      </c>
      <c r="L34" s="16"/>
      <c r="M34" t="s">
        <v>564</v>
      </c>
      <c r="N34">
        <v>4.7</v>
      </c>
      <c r="O34">
        <v>0.8</v>
      </c>
      <c r="P34" s="3" t="s">
        <v>187</v>
      </c>
      <c r="AB34" t="s">
        <v>104</v>
      </c>
      <c r="AM34" t="s">
        <v>178</v>
      </c>
      <c r="AO34">
        <v>4</v>
      </c>
    </row>
    <row r="35" spans="1:41">
      <c r="A35" t="s">
        <v>253</v>
      </c>
      <c r="B35" s="2">
        <v>453</v>
      </c>
      <c r="C35" s="2">
        <f t="shared" ref="C35:C66" si="4">IF(RIGHT(B35,1)="k", VALUE(LEFT(B35,LEN(B35)-1))*1000, VALUE(B35))</f>
        <v>453</v>
      </c>
      <c r="E35" s="16" t="s">
        <v>187</v>
      </c>
      <c r="F35" s="16"/>
      <c r="G35" s="5"/>
      <c r="H35" s="9" t="s">
        <v>201</v>
      </c>
      <c r="I35" s="1">
        <f t="shared" si="3"/>
        <v>11</v>
      </c>
      <c r="J35" s="5"/>
      <c r="K35" s="3" t="s">
        <v>187</v>
      </c>
      <c r="L35" s="3"/>
      <c r="M35" s="3" t="s">
        <v>565</v>
      </c>
      <c r="N35" s="3">
        <v>2</v>
      </c>
      <c r="O35" s="3"/>
      <c r="P35" s="3"/>
      <c r="AB35" t="s">
        <v>105</v>
      </c>
      <c r="AM35" t="s">
        <v>179</v>
      </c>
      <c r="AO35">
        <v>10</v>
      </c>
    </row>
    <row r="36" spans="1:41">
      <c r="B36" s="7">
        <v>715</v>
      </c>
      <c r="C36">
        <f t="shared" si="4"/>
        <v>715</v>
      </c>
      <c r="E36" s="13" t="s">
        <v>187</v>
      </c>
      <c r="F36" s="13"/>
      <c r="G36" s="5"/>
      <c r="H36" s="9" t="s">
        <v>202</v>
      </c>
      <c r="I36" s="1">
        <f t="shared" si="3"/>
        <v>13</v>
      </c>
      <c r="J36" s="5"/>
      <c r="K36" s="3" t="s">
        <v>187</v>
      </c>
      <c r="L36" s="3"/>
      <c r="M36" s="3" t="s">
        <v>566</v>
      </c>
      <c r="N36" s="3">
        <v>30</v>
      </c>
      <c r="O36" s="3">
        <v>0.42</v>
      </c>
      <c r="P36" s="3"/>
      <c r="AB36" t="s">
        <v>107</v>
      </c>
      <c r="AM36" t="s">
        <v>180</v>
      </c>
      <c r="AO36">
        <v>2</v>
      </c>
    </row>
    <row r="37" spans="1:41">
      <c r="B37" s="7" t="s">
        <v>225</v>
      </c>
      <c r="C37">
        <f t="shared" si="4"/>
        <v>1000</v>
      </c>
      <c r="E37" s="14" t="s">
        <v>187</v>
      </c>
      <c r="F37" s="14"/>
      <c r="G37" s="5"/>
      <c r="H37" s="9" t="s">
        <v>208</v>
      </c>
      <c r="I37" s="1">
        <f t="shared" si="3"/>
        <v>20</v>
      </c>
      <c r="J37" s="5"/>
      <c r="K37" s="3" t="s">
        <v>187</v>
      </c>
      <c r="L37" s="3"/>
      <c r="M37" s="3" t="s">
        <v>567</v>
      </c>
      <c r="N37" s="3">
        <v>8.1999999999999993</v>
      </c>
      <c r="O37" s="3">
        <v>0.65</v>
      </c>
      <c r="P37" s="3" t="s">
        <v>187</v>
      </c>
      <c r="AB37" t="s">
        <v>108</v>
      </c>
      <c r="AM37" t="s">
        <v>622</v>
      </c>
      <c r="AN37" s="47" t="s">
        <v>623</v>
      </c>
      <c r="AO37">
        <v>15</v>
      </c>
    </row>
    <row r="38" spans="1:41">
      <c r="B38" s="7" t="s">
        <v>188</v>
      </c>
      <c r="C38">
        <f t="shared" si="4"/>
        <v>1050</v>
      </c>
      <c r="E38" s="14" t="s">
        <v>187</v>
      </c>
      <c r="F38" s="14"/>
      <c r="G38" s="5"/>
      <c r="H38" s="8" t="s">
        <v>207</v>
      </c>
      <c r="I38" s="1">
        <f t="shared" si="3"/>
        <v>22</v>
      </c>
      <c r="J38" s="4"/>
      <c r="K38" s="3" t="s">
        <v>196</v>
      </c>
      <c r="L38" s="3"/>
      <c r="M38" s="3" t="s">
        <v>568</v>
      </c>
      <c r="N38" s="3">
        <v>150</v>
      </c>
      <c r="O38" s="3">
        <v>7</v>
      </c>
      <c r="P38" s="3"/>
      <c r="AB38" t="s">
        <v>109</v>
      </c>
      <c r="AM38" t="s">
        <v>624</v>
      </c>
      <c r="AN38" s="47" t="s">
        <v>625</v>
      </c>
      <c r="AO38">
        <v>3</v>
      </c>
    </row>
    <row r="39" spans="1:41">
      <c r="B39" s="7" t="s">
        <v>224</v>
      </c>
      <c r="C39">
        <f t="shared" si="4"/>
        <v>1200</v>
      </c>
      <c r="E39" s="14" t="s">
        <v>195</v>
      </c>
      <c r="F39" s="14"/>
      <c r="G39" s="5"/>
      <c r="H39" s="9" t="s">
        <v>207</v>
      </c>
      <c r="I39" s="1">
        <f t="shared" si="3"/>
        <v>22</v>
      </c>
      <c r="J39" s="5"/>
      <c r="K39" s="3" t="s">
        <v>209</v>
      </c>
      <c r="L39" s="3"/>
      <c r="M39" s="3" t="s">
        <v>569</v>
      </c>
      <c r="N39" s="3" t="s">
        <v>570</v>
      </c>
      <c r="O39" s="3">
        <v>1.5</v>
      </c>
      <c r="P39" s="3"/>
      <c r="AB39" t="s">
        <v>110</v>
      </c>
      <c r="AM39" t="s">
        <v>626</v>
      </c>
      <c r="AN39" s="47" t="s">
        <v>623</v>
      </c>
      <c r="AO39">
        <v>5</v>
      </c>
    </row>
    <row r="40" spans="1:41">
      <c r="B40" s="7" t="s">
        <v>223</v>
      </c>
      <c r="C40">
        <f t="shared" si="4"/>
        <v>1300</v>
      </c>
      <c r="E40" s="14" t="s">
        <v>187</v>
      </c>
      <c r="F40" s="14"/>
      <c r="G40" s="5"/>
      <c r="H40" s="5" t="s">
        <v>389</v>
      </c>
      <c r="I40" s="1">
        <f t="shared" si="3"/>
        <v>27</v>
      </c>
      <c r="J40" s="5" t="s">
        <v>355</v>
      </c>
      <c r="K40" s="17" t="s">
        <v>205</v>
      </c>
      <c r="L40" s="17"/>
      <c r="M40" s="17" t="s">
        <v>571</v>
      </c>
      <c r="N40" s="3">
        <v>39</v>
      </c>
      <c r="O40" s="3">
        <v>0.3</v>
      </c>
      <c r="P40" s="3"/>
      <c r="AB40" t="s">
        <v>111</v>
      </c>
      <c r="AM40" t="s">
        <v>627</v>
      </c>
      <c r="AO40">
        <v>2</v>
      </c>
    </row>
    <row r="41" spans="1:41">
      <c r="B41" s="7" t="s">
        <v>223</v>
      </c>
      <c r="C41">
        <f t="shared" si="4"/>
        <v>1300</v>
      </c>
      <c r="E41" s="14" t="s">
        <v>197</v>
      </c>
      <c r="F41" s="14"/>
      <c r="G41" s="19" t="s">
        <v>388</v>
      </c>
      <c r="H41" s="21" t="s">
        <v>602</v>
      </c>
      <c r="I41" s="22">
        <f>IF(ISNUMBER(SEARCH("pF",H41)), VALUE(LEFT(H41,SEARCH("pF",H41)-1)),
 IF(ISNUMBER(SEARCH("nF",H41)), VALUE(LEFT(H41,SEARCH("nF",H41)-1))*1000,
 IF(ISNUMBER(SEARCH("µF",H41)), VALUE(LEFT(H41,SEARCH("µF",H41)-1))*1000000,"")))</f>
        <v>27</v>
      </c>
      <c r="J41" s="19"/>
      <c r="K41" s="20">
        <v>805</v>
      </c>
      <c r="L41" s="20"/>
      <c r="M41" s="3" t="s">
        <v>572</v>
      </c>
      <c r="N41" s="3">
        <v>18</v>
      </c>
      <c r="O41" s="3">
        <v>0.3</v>
      </c>
      <c r="P41" s="3"/>
      <c r="AB41" t="s">
        <v>112</v>
      </c>
      <c r="AM41" t="s">
        <v>628</v>
      </c>
      <c r="AO41">
        <v>15</v>
      </c>
    </row>
    <row r="42" spans="1:41">
      <c r="B42" s="7" t="s">
        <v>223</v>
      </c>
      <c r="C42">
        <f t="shared" si="4"/>
        <v>1300</v>
      </c>
      <c r="E42" s="14" t="s">
        <v>195</v>
      </c>
      <c r="F42" s="14"/>
      <c r="G42" s="5"/>
      <c r="H42" s="19" t="s">
        <v>472</v>
      </c>
      <c r="I42" s="22">
        <f>IF(ISNUMBER(SEARCH("pF",H42)), VALUE(LEFT(H42,SEARCH("pF",H42)-1)),
 IF(ISNUMBER(SEARCH("nF",H42)), VALUE(LEFT(H42,SEARCH("nF",H42)-1))*1000,
 IF(ISNUMBER(SEARCH("uF",H42)), VALUE(LEFT(H42,SEARCH("uF",H42)-1))*1000000,"")))</f>
        <v>47</v>
      </c>
      <c r="J42" s="19">
        <v>50</v>
      </c>
      <c r="K42" s="23" t="s">
        <v>187</v>
      </c>
      <c r="L42" s="23"/>
      <c r="M42" s="3" t="s">
        <v>573</v>
      </c>
      <c r="N42" s="3">
        <v>100</v>
      </c>
      <c r="O42" s="3">
        <v>0.4</v>
      </c>
      <c r="P42" s="3"/>
      <c r="AB42" t="s">
        <v>113</v>
      </c>
      <c r="AM42" t="s">
        <v>634</v>
      </c>
      <c r="AN42" s="47" t="s">
        <v>635</v>
      </c>
      <c r="AO42">
        <v>11</v>
      </c>
    </row>
    <row r="43" spans="1:41">
      <c r="B43" s="7" t="s">
        <v>222</v>
      </c>
      <c r="C43">
        <f t="shared" si="4"/>
        <v>1500</v>
      </c>
      <c r="E43" s="14" t="s">
        <v>195</v>
      </c>
      <c r="F43" s="14"/>
      <c r="G43" s="5" t="s">
        <v>471</v>
      </c>
      <c r="H43" s="14" t="s">
        <v>577</v>
      </c>
      <c r="I43" s="22">
        <f>IF(ISNUMBER(SEARCH("pF",H43)), VALUE(LEFT(H43,SEARCH("pF",H43)-1)),
 IF(ISNUMBER(SEARCH("nF",H43)), VALUE(LEFT(H43,SEARCH("nF",H43)-1))*1000,
 IF(ISNUMBER(SEARCH("uF",H43)), VALUE(LEFT(H43,SEARCH("uF",H43)-1))*1000000,"")))</f>
        <v>47</v>
      </c>
      <c r="J43" s="5"/>
      <c r="K43" s="16">
        <v>603</v>
      </c>
      <c r="L43" s="16"/>
      <c r="M43" s="3" t="s">
        <v>574</v>
      </c>
      <c r="N43" s="3" t="s">
        <v>575</v>
      </c>
      <c r="O43" s="3"/>
      <c r="P43" s="3"/>
      <c r="AB43" t="s">
        <v>114</v>
      </c>
      <c r="AM43" t="s">
        <v>636</v>
      </c>
      <c r="AN43" s="47" t="s">
        <v>635</v>
      </c>
      <c r="AO43">
        <v>3</v>
      </c>
    </row>
    <row r="44" spans="1:41">
      <c r="A44" t="s">
        <v>285</v>
      </c>
      <c r="B44" s="2" t="s">
        <v>286</v>
      </c>
      <c r="C44" s="2">
        <f t="shared" si="4"/>
        <v>2000</v>
      </c>
      <c r="E44" s="13" t="s">
        <v>187</v>
      </c>
      <c r="F44" s="13"/>
      <c r="G44" s="5"/>
      <c r="H44" s="19" t="s">
        <v>468</v>
      </c>
      <c r="I44" s="22">
        <f>IF(ISNUMBER(SEARCH("pF",H44)), VALUE(LEFT(H44,SEARCH("pF",H44)-1)),
 IF(ISNUMBER(SEARCH("nF",H44)), VALUE(LEFT(H44,SEARCH("nF",H44)-1))*1000,
 IF(ISNUMBER(SEARCH("uF",H44)), VALUE(LEFT(H44,SEARCH("uF",H44)-1))*1000000,"")))</f>
        <v>56</v>
      </c>
      <c r="J44" s="19">
        <v>50</v>
      </c>
      <c r="K44" s="23" t="s">
        <v>187</v>
      </c>
      <c r="L44" s="23"/>
      <c r="AB44" t="s">
        <v>115</v>
      </c>
      <c r="AM44" t="s">
        <v>672</v>
      </c>
      <c r="AO44">
        <v>5</v>
      </c>
    </row>
    <row r="45" spans="1:41">
      <c r="A45" t="s">
        <v>317</v>
      </c>
      <c r="B45" t="s">
        <v>318</v>
      </c>
      <c r="C45">
        <f t="shared" si="4"/>
        <v>2210</v>
      </c>
      <c r="E45" s="14" t="s">
        <v>311</v>
      </c>
      <c r="F45" s="14"/>
      <c r="G45" s="5" t="s">
        <v>467</v>
      </c>
      <c r="H45" s="14" t="s">
        <v>588</v>
      </c>
      <c r="I45" s="22">
        <f>IF(ISNUMBER(SEARCH("pF",H45)), VALUE(LEFT(H45,SEARCH("pF",H45)-1)),
 IF(ISNUMBER(SEARCH("nF",H45)), VALUE(LEFT(H45,SEARCH("nF",H45)-1))*1000,
 IF(ISNUMBER(SEARCH("µF",H45)), VALUE(LEFT(H45,SEARCH("µF",H45)-1))*1000000,"")))</f>
        <v>56</v>
      </c>
      <c r="J45" s="5"/>
      <c r="K45" s="15">
        <v>603</v>
      </c>
      <c r="L45" s="15"/>
      <c r="AB45" t="s">
        <v>116</v>
      </c>
      <c r="AM45" s="19" t="s">
        <v>673</v>
      </c>
      <c r="AO45">
        <v>5</v>
      </c>
    </row>
    <row r="46" spans="1:41">
      <c r="B46" s="7" t="s">
        <v>185</v>
      </c>
      <c r="C46">
        <f t="shared" si="4"/>
        <v>3320</v>
      </c>
      <c r="E46" s="13" t="s">
        <v>187</v>
      </c>
      <c r="F46" s="13"/>
      <c r="G46" s="5"/>
      <c r="H46" s="19" t="s">
        <v>463</v>
      </c>
      <c r="I46" s="22">
        <f>IF(ISNUMBER(SEARCH("pF",H46)), VALUE(LEFT(H46,SEARCH("pF",H46)-1)),
 IF(ISNUMBER(SEARCH("nF",H46)), VALUE(LEFT(H46,SEARCH("nF",H46)-1))*1000,
 IF(ISNUMBER(SEARCH("uF",H46)), VALUE(LEFT(H46,SEARCH("uF",H46)-1))*1000000,"")))</f>
        <v>68</v>
      </c>
      <c r="J46" s="19">
        <v>50</v>
      </c>
      <c r="K46" s="23" t="s">
        <v>187</v>
      </c>
      <c r="L46" s="23"/>
      <c r="AB46" t="s">
        <v>117</v>
      </c>
      <c r="AM46" s="19" t="s">
        <v>674</v>
      </c>
      <c r="AO46">
        <v>120</v>
      </c>
    </row>
    <row r="47" spans="1:41">
      <c r="B47" s="7" t="s">
        <v>185</v>
      </c>
      <c r="C47">
        <f t="shared" si="4"/>
        <v>3320</v>
      </c>
      <c r="E47" s="14" t="s">
        <v>195</v>
      </c>
      <c r="F47" s="14"/>
      <c r="G47" s="5"/>
      <c r="H47" s="19" t="s">
        <v>463</v>
      </c>
      <c r="I47" s="22">
        <f>IF(ISNUMBER(SEARCH("pF",H47)), VALUE(LEFT(H47,SEARCH("pF",H47)-1)),
 IF(ISNUMBER(SEARCH("nF",H47)), VALUE(LEFT(H47,SEARCH("nF",H47)-1))*1000,
 IF(ISNUMBER(SEARCH("uF",H47)), VALUE(LEFT(H47,SEARCH("uF",H47)-1))*1000000,"")))</f>
        <v>68</v>
      </c>
      <c r="J47" s="19">
        <v>50</v>
      </c>
      <c r="K47" s="23" t="s">
        <v>187</v>
      </c>
      <c r="L47" s="23"/>
      <c r="AB47" t="s">
        <v>118</v>
      </c>
      <c r="AM47" s="19" t="s">
        <v>675</v>
      </c>
      <c r="AN47" s="53"/>
      <c r="AO47" s="19">
        <v>41</v>
      </c>
    </row>
    <row r="48" spans="1:41">
      <c r="B48" s="7" t="s">
        <v>221</v>
      </c>
      <c r="C48">
        <f t="shared" si="4"/>
        <v>3920</v>
      </c>
      <c r="E48" s="14" t="s">
        <v>195</v>
      </c>
      <c r="F48" s="14"/>
      <c r="G48" t="s">
        <v>473</v>
      </c>
      <c r="H48" s="21" t="s">
        <v>578</v>
      </c>
      <c r="I48" s="22">
        <f>IF(ISNUMBER(SEARCH("pF",H48)), VALUE(LEFT(H48,SEARCH("pF",H48)-1)),
 IF(ISNUMBER(SEARCH("nF",H48)), VALUE(LEFT(H48,SEARCH("nF",H48)-1))*1000,
 IF(ISNUMBER(SEARCH("uF",H48)), VALUE(LEFT(H48,SEARCH("uF",H48)-1))*1000000,"")))</f>
        <v>68</v>
      </c>
      <c r="J48" s="23"/>
      <c r="K48" s="20">
        <v>603</v>
      </c>
      <c r="L48" s="20"/>
      <c r="AB48" t="s">
        <v>119</v>
      </c>
      <c r="AM48" s="19" t="s">
        <v>676</v>
      </c>
      <c r="AN48" s="53"/>
      <c r="AO48" s="19">
        <v>1</v>
      </c>
    </row>
    <row r="49" spans="1:41">
      <c r="A49" t="s">
        <v>276</v>
      </c>
      <c r="B49" s="2" t="s">
        <v>277</v>
      </c>
      <c r="C49" s="2">
        <f t="shared" si="4"/>
        <v>4750</v>
      </c>
      <c r="E49" s="13" t="s">
        <v>187</v>
      </c>
      <c r="F49" s="13"/>
      <c r="G49" s="5" t="s">
        <v>462</v>
      </c>
      <c r="H49" s="14" t="s">
        <v>578</v>
      </c>
      <c r="I49" s="22">
        <f>IF(ISNUMBER(SEARCH("pF",H49)), VALUE(LEFT(H49,SEARCH("pF",H49)-1)),
 IF(ISNUMBER(SEARCH("nF",H49)), VALUE(LEFT(H49,SEARCH("nF",H49)-1))*1000,
 IF(ISNUMBER(SEARCH("µF",H49)), VALUE(LEFT(H49,SEARCH("µF",H49)-1))*1000000,"")))</f>
        <v>68</v>
      </c>
      <c r="J49" s="5"/>
      <c r="K49" s="13">
        <v>603</v>
      </c>
      <c r="L49" s="13"/>
      <c r="AB49" t="s">
        <v>120</v>
      </c>
      <c r="AM49" s="19" t="s">
        <v>677</v>
      </c>
      <c r="AN49" s="53"/>
      <c r="AO49" s="19">
        <v>4</v>
      </c>
    </row>
    <row r="50" spans="1:41">
      <c r="B50" s="7" t="s">
        <v>220</v>
      </c>
      <c r="C50">
        <f t="shared" si="4"/>
        <v>5000</v>
      </c>
      <c r="E50" s="14" t="s">
        <v>195</v>
      </c>
      <c r="F50" s="14"/>
      <c r="G50" s="5"/>
      <c r="H50" s="9" t="s">
        <v>19</v>
      </c>
      <c r="I50" s="1">
        <f>IF(ISNUMBER(SEARCH("pF",H50)), VALUE(LEFT(H50,SEARCH("pF",H50)-1)),
 IF(ISNUMBER(SEARCH("nF",H50)), VALUE(LEFT(H50,SEARCH("nF",H50)-1))*1000,
 IF(ISNUMBER(SEARCH("uF",H50)), VALUE(LEFT(H50,SEARCH("uF",H50)-1))*1000000,"")))</f>
        <v>100</v>
      </c>
      <c r="J50" s="5"/>
      <c r="AB50" t="s">
        <v>121</v>
      </c>
      <c r="AM50" s="19" t="s">
        <v>678</v>
      </c>
      <c r="AN50" s="53"/>
      <c r="AO50" s="19">
        <v>18</v>
      </c>
    </row>
    <row r="51" spans="1:41">
      <c r="B51" s="7" t="s">
        <v>219</v>
      </c>
      <c r="C51">
        <f t="shared" si="4"/>
        <v>6650</v>
      </c>
      <c r="E51" s="14" t="s">
        <v>195</v>
      </c>
      <c r="F51" s="14"/>
      <c r="G51" s="5"/>
      <c r="H51" s="5" t="s">
        <v>347</v>
      </c>
      <c r="I51" s="1">
        <f>IF(ISNUMBER(SEARCH("pF",H51)), VALUE(LEFT(H51,SEARCH("pF",H51)-1)),
 IF(ISNUMBER(SEARCH("nF",H51)), VALUE(LEFT(H51,SEARCH("nF",H51)-1))*1000,
 IF(ISNUMBER(SEARCH("uF",H51)), VALUE(LEFT(H51,SEARCH("uF",H51)-1))*1000000,"")))</f>
        <v>100</v>
      </c>
      <c r="J51" s="5" t="s">
        <v>348</v>
      </c>
      <c r="K51" s="17" t="s">
        <v>186</v>
      </c>
      <c r="L51" s="17"/>
      <c r="AB51" t="s">
        <v>122</v>
      </c>
      <c r="AM51" s="19" t="s">
        <v>679</v>
      </c>
      <c r="AN51" s="53" t="s">
        <v>688</v>
      </c>
      <c r="AO51" s="19">
        <v>115</v>
      </c>
    </row>
    <row r="52" spans="1:41">
      <c r="A52" t="s">
        <v>282</v>
      </c>
      <c r="B52" s="2" t="s">
        <v>283</v>
      </c>
      <c r="C52" s="2">
        <f t="shared" si="4"/>
        <v>7150</v>
      </c>
      <c r="E52" s="13" t="s">
        <v>187</v>
      </c>
      <c r="F52" s="13"/>
      <c r="G52" s="5"/>
      <c r="H52" s="5" t="s">
        <v>357</v>
      </c>
      <c r="I52" s="1">
        <f>IF(ISNUMBER(SEARCH("pF",H52)), VALUE(LEFT(H52,SEARCH("pF",H52)-1)),
 IF(ISNUMBER(SEARCH("nF",H52)), VALUE(LEFT(H52,SEARCH("nF",H52)-1))*1000,
 IF(ISNUMBER(SEARCH("uF",H52)), VALUE(LEFT(H52,SEARCH("uF",H52)-1))*1000000,"")))</f>
        <v>100</v>
      </c>
      <c r="J52" s="5" t="s">
        <v>355</v>
      </c>
      <c r="K52" s="17" t="s">
        <v>186</v>
      </c>
      <c r="L52" s="17"/>
      <c r="AB52" t="s">
        <v>123</v>
      </c>
      <c r="AM52" s="19" t="s">
        <v>680</v>
      </c>
      <c r="AN52" s="53"/>
      <c r="AO52" s="19">
        <v>2</v>
      </c>
    </row>
    <row r="53" spans="1:41">
      <c r="A53" t="s">
        <v>284</v>
      </c>
      <c r="B53" s="2" t="s">
        <v>283</v>
      </c>
      <c r="C53" s="2">
        <f t="shared" si="4"/>
        <v>7150</v>
      </c>
      <c r="E53" s="13" t="s">
        <v>187</v>
      </c>
      <c r="F53" s="13"/>
      <c r="G53" s="4"/>
      <c r="H53" s="19" t="s">
        <v>456</v>
      </c>
      <c r="I53" s="22">
        <f>IF(ISNUMBER(SEARCH("pF",H53)), VALUE(LEFT(H53,SEARCH("pF",H53)-1)),
 IF(ISNUMBER(SEARCH("nF",H53)), VALUE(LEFT(H53,SEARCH("nF",H53)-1))*1000,
 IF(ISNUMBER(SEARCH("uF",H53)), VALUE(LEFT(H53,SEARCH("uF",H53)-1))*1000000,"")))</f>
        <v>100</v>
      </c>
      <c r="J53" s="19">
        <v>5</v>
      </c>
      <c r="K53" s="23" t="s">
        <v>187</v>
      </c>
      <c r="L53" s="23"/>
      <c r="AB53" t="s">
        <v>124</v>
      </c>
      <c r="AM53" s="19" t="s">
        <v>681</v>
      </c>
      <c r="AN53" s="53"/>
      <c r="AO53" s="19">
        <v>20</v>
      </c>
    </row>
    <row r="54" spans="1:41">
      <c r="B54" s="7" t="s">
        <v>191</v>
      </c>
      <c r="C54">
        <f t="shared" si="4"/>
        <v>8060.0000000000009</v>
      </c>
      <c r="E54" s="14" t="s">
        <v>186</v>
      </c>
      <c r="F54" s="14"/>
      <c r="G54" s="5" t="s">
        <v>346</v>
      </c>
      <c r="H54" s="14" t="s">
        <v>19</v>
      </c>
      <c r="I54" s="22">
        <f t="shared" ref="I54:I62" si="5">IF(ISNUMBER(SEARCH("pF",H54)), VALUE(LEFT(H54,SEARCH("pF",H54)-1)),
 IF(ISNUMBER(SEARCH("nF",H54)), VALUE(LEFT(H54,SEARCH("nF",H54)-1))*1000,
 IF(ISNUMBER(SEARCH("µF",H54)), VALUE(LEFT(H54,SEARCH("µF",H54)-1))*1000000,"")))</f>
        <v>100</v>
      </c>
      <c r="J54" s="5"/>
      <c r="K54" s="13">
        <v>402</v>
      </c>
      <c r="L54" s="13"/>
      <c r="AB54" t="s">
        <v>125</v>
      </c>
      <c r="AM54" s="19" t="s">
        <v>682</v>
      </c>
      <c r="AN54" s="53"/>
      <c r="AO54" s="19">
        <v>24</v>
      </c>
    </row>
    <row r="55" spans="1:41">
      <c r="A55" t="s">
        <v>265</v>
      </c>
      <c r="B55" s="2" t="s">
        <v>266</v>
      </c>
      <c r="C55" s="2">
        <f t="shared" si="4"/>
        <v>8870</v>
      </c>
      <c r="E55" s="13" t="s">
        <v>205</v>
      </c>
      <c r="F55" s="13"/>
      <c r="G55" s="5" t="s">
        <v>356</v>
      </c>
      <c r="H55" s="21" t="s">
        <v>19</v>
      </c>
      <c r="I55" s="22">
        <f t="shared" si="5"/>
        <v>100</v>
      </c>
      <c r="J55" s="19"/>
      <c r="K55" s="20">
        <v>402</v>
      </c>
      <c r="L55" s="20"/>
      <c r="AB55" t="s">
        <v>126</v>
      </c>
      <c r="AM55" s="19" t="s">
        <v>683</v>
      </c>
      <c r="AN55" s="53"/>
      <c r="AO55" s="19">
        <v>15</v>
      </c>
    </row>
    <row r="56" spans="1:41">
      <c r="B56" s="7" t="s">
        <v>218</v>
      </c>
      <c r="C56">
        <f t="shared" si="4"/>
        <v>12000</v>
      </c>
      <c r="E56" s="14" t="s">
        <v>189</v>
      </c>
      <c r="F56" s="14"/>
      <c r="G56" s="19" t="s">
        <v>455</v>
      </c>
      <c r="H56" s="14" t="s">
        <v>19</v>
      </c>
      <c r="I56" s="22">
        <f t="shared" si="5"/>
        <v>100</v>
      </c>
      <c r="J56" s="5"/>
      <c r="K56" s="13">
        <v>603</v>
      </c>
      <c r="L56" s="13"/>
      <c r="AB56" t="s">
        <v>127</v>
      </c>
      <c r="AM56" s="19" t="s">
        <v>684</v>
      </c>
      <c r="AN56" s="53"/>
      <c r="AO56" s="19">
        <v>18</v>
      </c>
    </row>
    <row r="57" spans="1:41">
      <c r="A57" t="s">
        <v>278</v>
      </c>
      <c r="B57" s="2" t="s">
        <v>279</v>
      </c>
      <c r="C57" s="2">
        <f t="shared" si="4"/>
        <v>12100</v>
      </c>
      <c r="E57" s="13" t="s">
        <v>187</v>
      </c>
      <c r="F57" s="13"/>
      <c r="G57" s="19" t="s">
        <v>386</v>
      </c>
      <c r="H57" s="14" t="s">
        <v>603</v>
      </c>
      <c r="I57" s="22">
        <f t="shared" si="5"/>
        <v>390</v>
      </c>
      <c r="J57" s="5"/>
      <c r="K57" s="16">
        <v>805</v>
      </c>
      <c r="L57" s="16"/>
      <c r="AB57" t="s">
        <v>128</v>
      </c>
      <c r="AM57" s="19" t="s">
        <v>685</v>
      </c>
      <c r="AN57" s="53"/>
      <c r="AO57" s="19">
        <v>20</v>
      </c>
    </row>
    <row r="58" spans="1:41">
      <c r="B58" s="7" t="s">
        <v>217</v>
      </c>
      <c r="C58">
        <f t="shared" si="4"/>
        <v>16900</v>
      </c>
      <c r="E58" s="14" t="s">
        <v>189</v>
      </c>
      <c r="F58" s="14"/>
      <c r="G58" s="5" t="s">
        <v>474</v>
      </c>
      <c r="H58" s="14" t="s">
        <v>596</v>
      </c>
      <c r="I58" s="22">
        <f t="shared" si="5"/>
        <v>500</v>
      </c>
      <c r="J58" s="5"/>
      <c r="K58" s="13">
        <v>603</v>
      </c>
      <c r="L58" s="13"/>
      <c r="AB58" t="s">
        <v>129</v>
      </c>
      <c r="AM58" s="19" t="s">
        <v>686</v>
      </c>
      <c r="AN58" s="53"/>
      <c r="AO58" s="19">
        <v>16</v>
      </c>
    </row>
    <row r="59" spans="1:41">
      <c r="A59" t="s">
        <v>270</v>
      </c>
      <c r="B59" s="2" t="s">
        <v>271</v>
      </c>
      <c r="C59" s="2">
        <f t="shared" si="4"/>
        <v>17400</v>
      </c>
      <c r="E59" s="13" t="s">
        <v>187</v>
      </c>
      <c r="F59" s="13"/>
      <c r="G59" s="5" t="s">
        <v>375</v>
      </c>
      <c r="H59" s="14" t="s">
        <v>590</v>
      </c>
      <c r="I59" s="22">
        <f t="shared" si="5"/>
        <v>820</v>
      </c>
      <c r="J59" s="5"/>
      <c r="K59" s="13">
        <v>805</v>
      </c>
      <c r="L59" s="13"/>
      <c r="AB59" t="s">
        <v>130</v>
      </c>
      <c r="AM59" s="19" t="s">
        <v>687</v>
      </c>
      <c r="AN59" s="53"/>
      <c r="AO59" s="19">
        <v>10</v>
      </c>
    </row>
    <row r="60" spans="1:41">
      <c r="A60" t="s">
        <v>287</v>
      </c>
      <c r="B60" s="2" t="s">
        <v>271</v>
      </c>
      <c r="C60" s="2">
        <f t="shared" si="4"/>
        <v>17400</v>
      </c>
      <c r="E60" s="13" t="s">
        <v>187</v>
      </c>
      <c r="F60" s="13"/>
      <c r="G60" s="19" t="s">
        <v>482</v>
      </c>
      <c r="H60" s="14" t="s">
        <v>606</v>
      </c>
      <c r="I60" s="22">
        <f t="shared" si="5"/>
        <v>1000</v>
      </c>
      <c r="J60" s="5"/>
      <c r="K60" s="16">
        <v>402</v>
      </c>
      <c r="L60" s="16"/>
      <c r="AB60" t="s">
        <v>131</v>
      </c>
    </row>
    <row r="61" spans="1:41">
      <c r="B61" s="7" t="s">
        <v>190</v>
      </c>
      <c r="C61">
        <f t="shared" si="4"/>
        <v>18000</v>
      </c>
      <c r="E61" s="14" t="s">
        <v>186</v>
      </c>
      <c r="F61" s="14"/>
      <c r="G61" s="19" t="s">
        <v>376</v>
      </c>
      <c r="H61" s="14" t="s">
        <v>608</v>
      </c>
      <c r="I61" s="22">
        <f t="shared" si="5"/>
        <v>3300</v>
      </c>
      <c r="J61" s="5"/>
      <c r="K61" s="16">
        <v>805</v>
      </c>
      <c r="L61" s="16"/>
      <c r="AB61" t="s">
        <v>128</v>
      </c>
    </row>
    <row r="62" spans="1:41">
      <c r="A62" t="s">
        <v>272</v>
      </c>
      <c r="B62" s="2" t="s">
        <v>273</v>
      </c>
      <c r="C62" s="2">
        <f t="shared" si="4"/>
        <v>20000</v>
      </c>
      <c r="E62" s="13" t="s">
        <v>187</v>
      </c>
      <c r="F62" s="13"/>
      <c r="G62" s="19" t="s">
        <v>475</v>
      </c>
      <c r="H62" s="14" t="s">
        <v>601</v>
      </c>
      <c r="I62" s="22">
        <f t="shared" si="5"/>
        <v>10000</v>
      </c>
      <c r="J62" s="5"/>
      <c r="K62" s="16">
        <v>603</v>
      </c>
      <c r="L62" s="16"/>
      <c r="AB62" t="s">
        <v>132</v>
      </c>
    </row>
    <row r="63" spans="1:41">
      <c r="A63" t="s">
        <v>301</v>
      </c>
      <c r="B63" t="s">
        <v>302</v>
      </c>
      <c r="C63">
        <f t="shared" si="4"/>
        <v>20000</v>
      </c>
      <c r="E63" s="14" t="s">
        <v>303</v>
      </c>
      <c r="F63" s="14"/>
      <c r="G63" s="5" t="s">
        <v>359</v>
      </c>
      <c r="H63" s="21" t="s">
        <v>576</v>
      </c>
      <c r="I63" s="22">
        <f>IF(ISNUMBER(SEARCH("pF",H63)), VALUE(LEFT(H63,SEARCH("pF",H63)-1)),
 IF(ISNUMBER(SEARCH("nF",H63)), VALUE(LEFT(H63,SEARCH("nF",H63)-1))*1000,
 IF(ISNUMBER(SEARCH("uF",H63)), VALUE(LEFT(H63,SEARCH("uF",H63)-1))*1000000,"")))</f>
        <v>100000</v>
      </c>
      <c r="J63" s="19"/>
      <c r="K63" s="20">
        <v>402</v>
      </c>
      <c r="L63" s="20"/>
      <c r="AB63" t="s">
        <v>133</v>
      </c>
    </row>
    <row r="64" spans="1:41">
      <c r="A64" t="s">
        <v>274</v>
      </c>
      <c r="B64" s="2" t="s">
        <v>275</v>
      </c>
      <c r="C64" s="2">
        <f t="shared" si="4"/>
        <v>27000</v>
      </c>
      <c r="E64" s="13" t="s">
        <v>187</v>
      </c>
      <c r="F64" s="13"/>
      <c r="G64" s="19" t="s">
        <v>466</v>
      </c>
      <c r="H64" s="14" t="s">
        <v>576</v>
      </c>
      <c r="I64" s="22">
        <f t="shared" ref="I64:I82" si="6">IF(ISNUMBER(SEARCH("pF",H64)), VALUE(LEFT(H64,SEARCH("pF",H64)-1)),
 IF(ISNUMBER(SEARCH("nF",H64)), VALUE(LEFT(H64,SEARCH("nF",H64)-1))*1000,
 IF(ISNUMBER(SEARCH("µF",H64)), VALUE(LEFT(H64,SEARCH("µF",H64)-1))*1000000,"")))</f>
        <v>100000</v>
      </c>
      <c r="J64" s="5"/>
      <c r="K64" s="16">
        <v>603</v>
      </c>
      <c r="L64" s="16"/>
      <c r="AB64" t="s">
        <v>134</v>
      </c>
    </row>
    <row r="65" spans="1:29">
      <c r="A65" t="s">
        <v>280</v>
      </c>
      <c r="B65" s="2" t="s">
        <v>281</v>
      </c>
      <c r="C65" s="2">
        <f t="shared" si="4"/>
        <v>28000</v>
      </c>
      <c r="E65" s="13" t="s">
        <v>187</v>
      </c>
      <c r="F65" s="13"/>
      <c r="G65" s="5" t="s">
        <v>387</v>
      </c>
      <c r="H65" s="21" t="s">
        <v>589</v>
      </c>
      <c r="I65" s="22">
        <f t="shared" si="6"/>
        <v>1000000</v>
      </c>
      <c r="J65" s="19"/>
      <c r="K65" s="20">
        <v>805</v>
      </c>
      <c r="L65" s="20"/>
      <c r="AB65" t="s">
        <v>135</v>
      </c>
    </row>
    <row r="66" spans="1:29">
      <c r="B66" s="7" t="s">
        <v>216</v>
      </c>
      <c r="C66">
        <f t="shared" si="4"/>
        <v>30000</v>
      </c>
      <c r="E66" s="14" t="s">
        <v>187</v>
      </c>
      <c r="F66" s="14"/>
      <c r="G66" s="19" t="s">
        <v>460</v>
      </c>
      <c r="H66" s="14" t="s">
        <v>607</v>
      </c>
      <c r="I66" s="22">
        <f t="shared" si="6"/>
        <v>2200000</v>
      </c>
      <c r="J66" s="5"/>
      <c r="K66" s="15">
        <v>603</v>
      </c>
      <c r="L66" s="15"/>
      <c r="AB66" t="s">
        <v>136</v>
      </c>
    </row>
    <row r="67" spans="1:29">
      <c r="A67" t="s">
        <v>255</v>
      </c>
      <c r="B67" s="2" t="s">
        <v>256</v>
      </c>
      <c r="C67" s="2">
        <f t="shared" ref="C67:C84" si="7">IF(RIGHT(B67,1)="k", VALUE(LEFT(B67,LEN(B67)-1))*1000, VALUE(B67))</f>
        <v>30000</v>
      </c>
      <c r="E67" s="13" t="s">
        <v>187</v>
      </c>
      <c r="F67" s="13"/>
      <c r="G67" s="19" t="s">
        <v>461</v>
      </c>
      <c r="H67" s="14" t="s">
        <v>607</v>
      </c>
      <c r="I67" s="22">
        <f t="shared" si="6"/>
        <v>2200000</v>
      </c>
      <c r="J67" s="5"/>
      <c r="K67" s="16">
        <v>603</v>
      </c>
      <c r="L67" s="16"/>
      <c r="AB67" t="s">
        <v>137</v>
      </c>
    </row>
    <row r="68" spans="1:29">
      <c r="A68" t="s">
        <v>269</v>
      </c>
      <c r="B68" s="2" t="s">
        <v>256</v>
      </c>
      <c r="C68" s="2">
        <f t="shared" si="7"/>
        <v>30000</v>
      </c>
      <c r="E68" s="13" t="s">
        <v>187</v>
      </c>
      <c r="F68" s="13"/>
      <c r="G68" s="5" t="s">
        <v>459</v>
      </c>
      <c r="H68" s="21" t="s">
        <v>599</v>
      </c>
      <c r="I68" s="22">
        <f t="shared" si="6"/>
        <v>4700000</v>
      </c>
      <c r="J68" s="19"/>
      <c r="K68" s="20">
        <v>603</v>
      </c>
      <c r="L68" s="20"/>
      <c r="AB68" t="s">
        <v>138</v>
      </c>
    </row>
    <row r="69" spans="1:29">
      <c r="A69" t="s">
        <v>288</v>
      </c>
      <c r="B69" s="2" t="s">
        <v>256</v>
      </c>
      <c r="C69" s="2">
        <f t="shared" si="7"/>
        <v>30000</v>
      </c>
      <c r="E69" s="13" t="s">
        <v>187</v>
      </c>
      <c r="F69" s="13"/>
      <c r="G69" s="5" t="s">
        <v>358</v>
      </c>
      <c r="H69" s="14" t="s">
        <v>599</v>
      </c>
      <c r="I69" s="22">
        <f t="shared" si="6"/>
        <v>4700000</v>
      </c>
      <c r="J69" s="5"/>
      <c r="K69" s="13">
        <v>402</v>
      </c>
      <c r="L69" s="13"/>
      <c r="AB69" t="s">
        <v>139</v>
      </c>
    </row>
    <row r="70" spans="1:29">
      <c r="B70" s="7" t="s">
        <v>193</v>
      </c>
      <c r="C70">
        <f t="shared" si="7"/>
        <v>38300</v>
      </c>
      <c r="E70" s="14" t="s">
        <v>186</v>
      </c>
      <c r="F70" s="14"/>
      <c r="G70" s="5" t="s">
        <v>591</v>
      </c>
      <c r="H70" s="14" t="s">
        <v>592</v>
      </c>
      <c r="I70" s="22">
        <f t="shared" si="6"/>
        <v>10000000</v>
      </c>
      <c r="J70" s="5"/>
      <c r="K70" s="13">
        <v>603</v>
      </c>
      <c r="L70" s="13"/>
      <c r="AB70" t="s">
        <v>140</v>
      </c>
    </row>
    <row r="71" spans="1:29">
      <c r="B71" s="7" t="s">
        <v>192</v>
      </c>
      <c r="C71">
        <f t="shared" si="7"/>
        <v>47000</v>
      </c>
      <c r="E71" s="14" t="s">
        <v>186</v>
      </c>
      <c r="F71" s="14"/>
      <c r="G71" s="19" t="s">
        <v>415</v>
      </c>
      <c r="H71" s="14" t="s">
        <v>592</v>
      </c>
      <c r="I71" s="22">
        <f t="shared" si="6"/>
        <v>10000000</v>
      </c>
      <c r="J71" s="5"/>
      <c r="K71" s="16" t="s">
        <v>605</v>
      </c>
      <c r="L71" s="16"/>
      <c r="AB71" t="s">
        <v>141</v>
      </c>
    </row>
    <row r="72" spans="1:29">
      <c r="B72" s="7" t="s">
        <v>215</v>
      </c>
      <c r="C72">
        <f t="shared" si="7"/>
        <v>60400</v>
      </c>
      <c r="E72" s="14" t="s">
        <v>195</v>
      </c>
      <c r="F72" s="14"/>
      <c r="G72" s="19" t="s">
        <v>369</v>
      </c>
      <c r="H72" s="14" t="s">
        <v>592</v>
      </c>
      <c r="I72" s="22">
        <f t="shared" si="6"/>
        <v>10000000</v>
      </c>
      <c r="J72" s="5"/>
      <c r="K72" s="16">
        <v>1206</v>
      </c>
      <c r="L72" s="16"/>
      <c r="AB72" t="s">
        <v>117</v>
      </c>
    </row>
    <row r="73" spans="1:29">
      <c r="B73" s="7" t="s">
        <v>194</v>
      </c>
      <c r="C73">
        <f t="shared" si="7"/>
        <v>82000</v>
      </c>
      <c r="E73" s="14" t="s">
        <v>186</v>
      </c>
      <c r="F73" s="14"/>
      <c r="G73" s="5" t="s">
        <v>374</v>
      </c>
      <c r="H73" s="14" t="s">
        <v>593</v>
      </c>
      <c r="I73" s="22">
        <f t="shared" si="6"/>
        <v>15000000</v>
      </c>
      <c r="J73" s="5"/>
      <c r="K73" s="13">
        <v>805</v>
      </c>
      <c r="L73" s="13"/>
      <c r="AB73" t="s">
        <v>142</v>
      </c>
    </row>
    <row r="74" spans="1:29">
      <c r="A74" t="s">
        <v>290</v>
      </c>
      <c r="B74" s="2" t="s">
        <v>291</v>
      </c>
      <c r="C74" s="2">
        <f t="shared" si="7"/>
        <v>88700</v>
      </c>
      <c r="G74" s="5" t="s">
        <v>597</v>
      </c>
      <c r="H74" s="21" t="s">
        <v>598</v>
      </c>
      <c r="I74" s="22">
        <f t="shared" si="6"/>
        <v>22000000</v>
      </c>
      <c r="J74" s="19"/>
      <c r="K74" s="20">
        <v>1206</v>
      </c>
      <c r="L74" s="20"/>
      <c r="AB74" t="s">
        <v>143</v>
      </c>
    </row>
    <row r="75" spans="1:29">
      <c r="A75" t="s">
        <v>263</v>
      </c>
      <c r="B75" s="2" t="s">
        <v>264</v>
      </c>
      <c r="C75" s="2">
        <f t="shared" si="7"/>
        <v>102000</v>
      </c>
      <c r="E75" s="13" t="s">
        <v>187</v>
      </c>
      <c r="F75" s="13"/>
      <c r="G75" s="19" t="s">
        <v>368</v>
      </c>
      <c r="H75" s="14" t="s">
        <v>598</v>
      </c>
      <c r="I75" s="22">
        <f t="shared" si="6"/>
        <v>22000000</v>
      </c>
      <c r="J75" s="5"/>
      <c r="K75" s="13" t="s">
        <v>604</v>
      </c>
      <c r="L75" s="13"/>
      <c r="AB75" t="s">
        <v>144</v>
      </c>
    </row>
    <row r="76" spans="1:29">
      <c r="A76" t="s">
        <v>289</v>
      </c>
      <c r="B76" s="2" t="s">
        <v>264</v>
      </c>
      <c r="C76" s="2">
        <f t="shared" si="7"/>
        <v>102000</v>
      </c>
      <c r="E76" s="13" t="s">
        <v>187</v>
      </c>
      <c r="F76" s="13"/>
      <c r="G76" s="19" t="s">
        <v>371</v>
      </c>
      <c r="H76" s="14" t="s">
        <v>598</v>
      </c>
      <c r="I76" s="22">
        <f t="shared" si="6"/>
        <v>22000000</v>
      </c>
      <c r="J76" s="5"/>
      <c r="K76" s="16">
        <v>805</v>
      </c>
      <c r="L76" s="16"/>
      <c r="AB76" t="s">
        <v>145</v>
      </c>
    </row>
    <row r="77" spans="1:29">
      <c r="A77" t="s">
        <v>261</v>
      </c>
      <c r="B77" s="2" t="s">
        <v>262</v>
      </c>
      <c r="C77" s="2">
        <f t="shared" si="7"/>
        <v>120000</v>
      </c>
      <c r="E77" s="13" t="s">
        <v>187</v>
      </c>
      <c r="F77" s="13"/>
      <c r="G77" s="19" t="s">
        <v>364</v>
      </c>
      <c r="H77" s="14" t="s">
        <v>598</v>
      </c>
      <c r="I77" s="22">
        <f t="shared" si="6"/>
        <v>22000000</v>
      </c>
      <c r="J77" s="5"/>
      <c r="K77" s="16">
        <v>1210</v>
      </c>
      <c r="L77" s="16"/>
      <c r="AB77" t="s">
        <v>146</v>
      </c>
    </row>
    <row r="78" spans="1:29">
      <c r="A78" t="s">
        <v>308</v>
      </c>
      <c r="B78" t="s">
        <v>309</v>
      </c>
      <c r="C78">
        <f t="shared" si="7"/>
        <v>140000</v>
      </c>
      <c r="E78" s="14" t="s">
        <v>293</v>
      </c>
      <c r="F78" s="14"/>
      <c r="G78" s="19" t="s">
        <v>366</v>
      </c>
      <c r="H78" s="14" t="s">
        <v>598</v>
      </c>
      <c r="I78" s="22">
        <f t="shared" si="6"/>
        <v>22000000</v>
      </c>
      <c r="J78" s="5"/>
      <c r="K78" s="13">
        <v>1210</v>
      </c>
      <c r="L78" s="13"/>
      <c r="AB78" t="s">
        <v>419</v>
      </c>
    </row>
    <row r="79" spans="1:29">
      <c r="A79" t="s">
        <v>259</v>
      </c>
      <c r="B79" s="2" t="s">
        <v>260</v>
      </c>
      <c r="C79" s="2">
        <f t="shared" si="7"/>
        <v>150000</v>
      </c>
      <c r="E79" s="13" t="s">
        <v>187</v>
      </c>
      <c r="F79" s="13"/>
      <c r="G79" s="5" t="s">
        <v>363</v>
      </c>
      <c r="H79" s="14" t="s">
        <v>594</v>
      </c>
      <c r="I79" s="22">
        <f t="shared" si="6"/>
        <v>33000000</v>
      </c>
      <c r="J79" s="5"/>
      <c r="K79" s="16">
        <v>1206</v>
      </c>
      <c r="L79" s="16"/>
      <c r="AB79" t="s">
        <v>661</v>
      </c>
      <c r="AC79">
        <v>2</v>
      </c>
    </row>
    <row r="80" spans="1:29">
      <c r="A80" t="s">
        <v>304</v>
      </c>
      <c r="B80" t="s">
        <v>305</v>
      </c>
      <c r="C80">
        <f t="shared" si="7"/>
        <v>180000</v>
      </c>
      <c r="E80" s="14" t="s">
        <v>293</v>
      </c>
      <c r="F80" s="14"/>
      <c r="G80" s="5" t="s">
        <v>367</v>
      </c>
      <c r="H80" s="14" t="s">
        <v>595</v>
      </c>
      <c r="I80" s="22">
        <f t="shared" si="6"/>
        <v>47000000</v>
      </c>
      <c r="J80" s="5"/>
      <c r="K80" s="13">
        <v>1206</v>
      </c>
      <c r="L80" s="13"/>
    </row>
    <row r="81" spans="1:19">
      <c r="B81" s="7" t="s">
        <v>214</v>
      </c>
      <c r="C81">
        <f t="shared" si="7"/>
        <v>191000</v>
      </c>
      <c r="E81" s="14" t="s">
        <v>195</v>
      </c>
      <c r="F81" s="14"/>
      <c r="G81" s="5" t="s">
        <v>390</v>
      </c>
      <c r="H81" s="14" t="s">
        <v>595</v>
      </c>
      <c r="I81" s="22">
        <f t="shared" si="6"/>
        <v>47000000</v>
      </c>
      <c r="J81" s="5"/>
      <c r="K81" s="16">
        <v>805</v>
      </c>
      <c r="L81" s="16"/>
    </row>
    <row r="82" spans="1:19">
      <c r="B82" s="7" t="s">
        <v>213</v>
      </c>
      <c r="C82">
        <f t="shared" si="7"/>
        <v>200000</v>
      </c>
      <c r="E82" s="14" t="s">
        <v>189</v>
      </c>
      <c r="F82" s="14"/>
      <c r="G82" s="19" t="s">
        <v>365</v>
      </c>
      <c r="H82" s="14" t="s">
        <v>611</v>
      </c>
      <c r="I82" s="22">
        <f t="shared" si="6"/>
        <v>100000000</v>
      </c>
      <c r="J82" s="5"/>
      <c r="K82" s="13" t="s">
        <v>610</v>
      </c>
      <c r="L82" s="13"/>
      <c r="O82" s="18"/>
      <c r="P82" s="18"/>
      <c r="Q82" s="18"/>
      <c r="R82" s="18"/>
      <c r="S82" s="18"/>
    </row>
    <row r="83" spans="1:19">
      <c r="A83" t="s">
        <v>306</v>
      </c>
      <c r="B83" t="s">
        <v>307</v>
      </c>
      <c r="C83">
        <f t="shared" si="7"/>
        <v>249000</v>
      </c>
      <c r="E83" s="14" t="s">
        <v>293</v>
      </c>
      <c r="F83" s="14"/>
      <c r="G83" s="5" t="s">
        <v>210</v>
      </c>
      <c r="H83" s="19" t="s">
        <v>14</v>
      </c>
      <c r="I83" s="22">
        <f>IF(ISNUMBER(SEARCH("pF",H83)), VALUE(LEFT(H83,SEARCH("pF",H83)-1)),
 IF(ISNUMBER(SEARCH("nF",H83)), VALUE(LEFT(H83,SEARCH("nF",H83)-1))*1000,
 IF(ISNUMBER(SEARCH("uF",H83)), VALUE(LEFT(H83,SEARCH("uF",H83)-1))*1000000,"")))</f>
        <v>220000000</v>
      </c>
      <c r="J83" s="19">
        <v>50</v>
      </c>
      <c r="K83" s="23" t="s">
        <v>200</v>
      </c>
      <c r="L83" s="23"/>
      <c r="O83" s="18"/>
      <c r="P83" s="18"/>
      <c r="Q83" s="18"/>
      <c r="R83" s="18"/>
      <c r="S83" s="18"/>
    </row>
    <row r="84" spans="1:19">
      <c r="B84" s="7" t="s">
        <v>212</v>
      </c>
      <c r="C84">
        <f t="shared" si="7"/>
        <v>250000</v>
      </c>
      <c r="E84" s="14" t="s">
        <v>189</v>
      </c>
      <c r="F84" s="14"/>
      <c r="G84" s="19"/>
      <c r="H84" s="2"/>
      <c r="I84" s="1"/>
      <c r="J84" s="5"/>
      <c r="O84" s="18"/>
      <c r="P84" s="18"/>
      <c r="Q84" s="18"/>
      <c r="R84" s="18"/>
      <c r="S84" s="18"/>
    </row>
    <row r="85" spans="1:19">
      <c r="A85" t="s">
        <v>251</v>
      </c>
      <c r="B85" s="7" t="s">
        <v>211</v>
      </c>
      <c r="C85">
        <f>IF(RIGHT(B85,1)="K",VALUE(LEFT(B85,LEN(B85)-1))*1000,VALUE(B85))</f>
        <v>634000</v>
      </c>
      <c r="E85" s="14" t="s">
        <v>189</v>
      </c>
      <c r="F85" s="14"/>
      <c r="G85" s="19"/>
      <c r="H85" s="19"/>
      <c r="I85" s="19"/>
      <c r="J85" s="19"/>
      <c r="K85" s="19"/>
      <c r="L85" s="19"/>
      <c r="O85" s="18"/>
      <c r="P85" s="18"/>
      <c r="Q85" s="18"/>
      <c r="R85" s="18"/>
      <c r="S85" s="18"/>
    </row>
    <row r="86" spans="1:19">
      <c r="A86" t="s">
        <v>322</v>
      </c>
      <c r="B86" s="7" t="s">
        <v>323</v>
      </c>
      <c r="C86">
        <f>IF(RIGHT(B86,1)="K",VALUE(LEFT(B86,LEN(B86)-1))*1000,VALUE(B86))</f>
        <v>82000</v>
      </c>
      <c r="E86" s="13" t="s">
        <v>187</v>
      </c>
      <c r="F86" s="13"/>
      <c r="G86" s="34"/>
      <c r="H86" s="34"/>
      <c r="I86" s="34"/>
      <c r="J86" s="19"/>
      <c r="K86" s="19"/>
      <c r="L86" s="19"/>
      <c r="O86" s="18"/>
      <c r="P86" s="18"/>
      <c r="Q86" s="18"/>
      <c r="R86" s="18"/>
      <c r="S86" s="18"/>
    </row>
    <row r="87" spans="1:19">
      <c r="A87" t="s">
        <v>324</v>
      </c>
      <c r="B87">
        <v>3.16</v>
      </c>
      <c r="C87">
        <f t="shared" ref="C87:C130" si="8">IF(RIGHT(B87,1)="K",VALUE(LEFT(B87,LEN(B87)-1))*1000,VALUE(B87))</f>
        <v>3.16</v>
      </c>
      <c r="G87" s="34"/>
      <c r="H87" s="35"/>
      <c r="I87" s="34"/>
    </row>
    <row r="88" spans="1:19">
      <c r="A88" t="s">
        <v>325</v>
      </c>
      <c r="B88" s="7" t="s">
        <v>326</v>
      </c>
      <c r="C88">
        <f t="shared" si="8"/>
        <v>3600</v>
      </c>
      <c r="E88" s="13" t="s">
        <v>187</v>
      </c>
      <c r="F88" s="13"/>
      <c r="G88" s="34"/>
      <c r="H88" s="35"/>
      <c r="I88" s="34"/>
    </row>
    <row r="89" spans="1:19">
      <c r="A89" t="s">
        <v>327</v>
      </c>
      <c r="B89" s="7" t="s">
        <v>326</v>
      </c>
      <c r="C89">
        <f t="shared" si="8"/>
        <v>3600</v>
      </c>
      <c r="E89" s="13" t="s">
        <v>187</v>
      </c>
      <c r="F89" s="13"/>
      <c r="G89" s="34"/>
      <c r="H89" s="35"/>
      <c r="I89" s="34"/>
    </row>
    <row r="90" spans="1:19">
      <c r="A90" t="s">
        <v>328</v>
      </c>
      <c r="B90">
        <v>150</v>
      </c>
      <c r="C90">
        <f t="shared" si="8"/>
        <v>150</v>
      </c>
      <c r="E90" s="13" t="s">
        <v>187</v>
      </c>
      <c r="F90" s="13"/>
      <c r="G90" s="34"/>
      <c r="H90" s="35"/>
      <c r="I90" s="34"/>
    </row>
    <row r="91" spans="1:19">
      <c r="A91" t="s">
        <v>329</v>
      </c>
      <c r="B91">
        <v>113</v>
      </c>
      <c r="C91">
        <f t="shared" si="8"/>
        <v>113</v>
      </c>
      <c r="E91" s="13" t="s">
        <v>196</v>
      </c>
      <c r="F91" s="13"/>
      <c r="G91" s="34"/>
      <c r="H91" s="35"/>
      <c r="I91" s="34"/>
    </row>
    <row r="92" spans="1:19">
      <c r="A92" t="s">
        <v>330</v>
      </c>
      <c r="B92" t="s">
        <v>331</v>
      </c>
      <c r="C92">
        <f t="shared" si="8"/>
        <v>4990</v>
      </c>
      <c r="E92" s="13" t="s">
        <v>187</v>
      </c>
      <c r="F92" s="13"/>
      <c r="G92" s="34"/>
      <c r="H92" s="35"/>
      <c r="I92" s="34"/>
    </row>
    <row r="93" spans="1:19">
      <c r="A93" t="s">
        <v>332</v>
      </c>
      <c r="B93">
        <v>10</v>
      </c>
      <c r="C93">
        <f t="shared" si="8"/>
        <v>10</v>
      </c>
      <c r="E93" s="13" t="s">
        <v>187</v>
      </c>
      <c r="F93" s="13"/>
      <c r="G93" s="34"/>
      <c r="H93" s="35"/>
      <c r="I93" s="34"/>
    </row>
    <row r="94" spans="1:19">
      <c r="A94" t="s">
        <v>333</v>
      </c>
      <c r="B94">
        <v>402</v>
      </c>
      <c r="C94">
        <f t="shared" si="8"/>
        <v>402</v>
      </c>
      <c r="E94" s="13" t="s">
        <v>205</v>
      </c>
      <c r="F94" s="13"/>
      <c r="G94" s="34"/>
      <c r="H94" s="35"/>
      <c r="I94" s="34"/>
    </row>
    <row r="95" spans="1:19">
      <c r="A95" t="s">
        <v>334</v>
      </c>
      <c r="B95" t="s">
        <v>335</v>
      </c>
      <c r="C95">
        <f t="shared" si="8"/>
        <v>1500</v>
      </c>
      <c r="E95" s="13" t="s">
        <v>205</v>
      </c>
      <c r="F95" s="13"/>
      <c r="G95" s="34"/>
      <c r="H95" s="35"/>
      <c r="I95" s="34"/>
    </row>
    <row r="96" spans="1:19">
      <c r="A96" t="s">
        <v>336</v>
      </c>
      <c r="B96">
        <v>267</v>
      </c>
      <c r="C96">
        <f t="shared" si="8"/>
        <v>267</v>
      </c>
      <c r="E96" s="13" t="s">
        <v>196</v>
      </c>
      <c r="F96" s="13"/>
      <c r="G96" s="34"/>
      <c r="H96" s="35"/>
      <c r="I96" s="34"/>
    </row>
    <row r="97" spans="1:9">
      <c r="A97" t="s">
        <v>337</v>
      </c>
      <c r="B97">
        <v>51</v>
      </c>
      <c r="C97">
        <f t="shared" si="8"/>
        <v>51</v>
      </c>
      <c r="E97" s="13" t="s">
        <v>187</v>
      </c>
      <c r="F97" s="13"/>
      <c r="G97" s="34"/>
      <c r="H97" s="35"/>
      <c r="I97" s="34"/>
    </row>
    <row r="98" spans="1:9">
      <c r="A98" t="s">
        <v>338</v>
      </c>
      <c r="B98" t="s">
        <v>339</v>
      </c>
      <c r="C98">
        <f t="shared" si="8"/>
        <v>10000</v>
      </c>
      <c r="E98" s="13" t="s">
        <v>205</v>
      </c>
      <c r="F98" s="13"/>
      <c r="G98" s="34"/>
      <c r="H98" s="35"/>
      <c r="I98" s="34"/>
    </row>
    <row r="99" spans="1:9">
      <c r="A99" t="s">
        <v>340</v>
      </c>
      <c r="B99">
        <v>15</v>
      </c>
      <c r="C99">
        <f t="shared" si="8"/>
        <v>15</v>
      </c>
      <c r="E99" s="13" t="s">
        <v>205</v>
      </c>
      <c r="F99" s="13"/>
      <c r="G99" s="34"/>
      <c r="H99" s="35"/>
      <c r="I99" s="34"/>
    </row>
    <row r="100" spans="1:9">
      <c r="A100" t="s">
        <v>341</v>
      </c>
      <c r="B100">
        <v>56</v>
      </c>
      <c r="C100">
        <f t="shared" si="8"/>
        <v>56</v>
      </c>
      <c r="G100" s="34"/>
      <c r="H100" s="35"/>
      <c r="I100" s="34"/>
    </row>
    <row r="101" spans="1:9">
      <c r="A101" t="s">
        <v>342</v>
      </c>
      <c r="B101">
        <v>220</v>
      </c>
      <c r="C101">
        <f t="shared" si="8"/>
        <v>220</v>
      </c>
      <c r="E101" s="13" t="s">
        <v>196</v>
      </c>
      <c r="F101" s="13"/>
      <c r="G101" s="34"/>
      <c r="H101" s="35"/>
      <c r="I101" s="34"/>
    </row>
    <row r="102" spans="1:9">
      <c r="A102" t="s">
        <v>343</v>
      </c>
      <c r="B102" t="s">
        <v>344</v>
      </c>
      <c r="C102">
        <f t="shared" si="8"/>
        <v>1300</v>
      </c>
      <c r="E102" s="13" t="s">
        <v>196</v>
      </c>
      <c r="F102" s="13"/>
      <c r="G102" s="34"/>
      <c r="H102" s="35"/>
      <c r="I102" s="34"/>
    </row>
    <row r="103" spans="1:9">
      <c r="A103" t="s">
        <v>345</v>
      </c>
      <c r="B103">
        <v>100</v>
      </c>
      <c r="C103">
        <f t="shared" si="8"/>
        <v>100</v>
      </c>
      <c r="E103" s="13" t="s">
        <v>187</v>
      </c>
      <c r="F103" s="13"/>
      <c r="G103" s="34"/>
      <c r="H103" s="35"/>
      <c r="I103" s="34"/>
    </row>
    <row r="104" spans="1:9">
      <c r="A104" t="s">
        <v>381</v>
      </c>
      <c r="B104" t="s">
        <v>273</v>
      </c>
      <c r="C104">
        <f t="shared" si="8"/>
        <v>20000</v>
      </c>
      <c r="E104" s="13" t="s">
        <v>205</v>
      </c>
      <c r="F104" s="13"/>
      <c r="G104" s="34"/>
      <c r="H104" s="35"/>
      <c r="I104" s="34"/>
    </row>
    <row r="105" spans="1:9">
      <c r="A105" t="s">
        <v>382</v>
      </c>
      <c r="B105" t="s">
        <v>383</v>
      </c>
      <c r="C105">
        <f t="shared" si="8"/>
        <v>8450</v>
      </c>
      <c r="E105" s="13" t="s">
        <v>205</v>
      </c>
      <c r="F105" s="13"/>
      <c r="G105" s="34"/>
      <c r="H105" s="35"/>
      <c r="I105" s="34"/>
    </row>
    <row r="106" spans="1:9">
      <c r="A106" t="s">
        <v>384</v>
      </c>
      <c r="B106" t="s">
        <v>383</v>
      </c>
      <c r="C106">
        <f t="shared" si="8"/>
        <v>8450</v>
      </c>
      <c r="E106" s="13" t="s">
        <v>187</v>
      </c>
      <c r="F106" s="13"/>
      <c r="G106" s="34"/>
      <c r="H106" s="35"/>
      <c r="I106" s="34"/>
    </row>
    <row r="107" spans="1:9">
      <c r="A107" t="s">
        <v>385</v>
      </c>
      <c r="B107">
        <v>56.2</v>
      </c>
      <c r="C107">
        <f t="shared" si="8"/>
        <v>56.2</v>
      </c>
      <c r="E107" s="13" t="s">
        <v>205</v>
      </c>
      <c r="F107" s="13"/>
      <c r="G107" s="34"/>
      <c r="H107" s="35"/>
      <c r="I107" s="34"/>
    </row>
    <row r="108" spans="1:9">
      <c r="A108" t="s">
        <v>402</v>
      </c>
      <c r="B108" t="s">
        <v>403</v>
      </c>
      <c r="C108">
        <f t="shared" si="8"/>
        <v>95300</v>
      </c>
      <c r="E108" s="13" t="s">
        <v>187</v>
      </c>
      <c r="F108" s="13"/>
      <c r="G108" s="34"/>
      <c r="H108" s="35"/>
      <c r="I108" s="34"/>
    </row>
    <row r="109" spans="1:9">
      <c r="A109" t="s">
        <v>411</v>
      </c>
      <c r="C109">
        <f t="shared" si="8"/>
        <v>0</v>
      </c>
      <c r="G109" s="34"/>
      <c r="H109" s="35"/>
      <c r="I109" s="34"/>
    </row>
    <row r="110" spans="1:9">
      <c r="A110" t="s">
        <v>412</v>
      </c>
      <c r="B110">
        <v>100</v>
      </c>
      <c r="C110">
        <f t="shared" si="8"/>
        <v>100</v>
      </c>
      <c r="E110" s="13" t="s">
        <v>186</v>
      </c>
      <c r="F110" s="13"/>
      <c r="G110" s="34"/>
      <c r="H110" s="35"/>
      <c r="I110" s="34"/>
    </row>
    <row r="111" spans="1:9">
      <c r="A111" t="s">
        <v>413</v>
      </c>
      <c r="B111">
        <v>88</v>
      </c>
      <c r="C111">
        <f t="shared" si="8"/>
        <v>88</v>
      </c>
      <c r="E111" s="13" t="s">
        <v>186</v>
      </c>
      <c r="F111" s="13"/>
      <c r="G111" s="34"/>
      <c r="H111" s="35"/>
      <c r="I111" s="34"/>
    </row>
    <row r="112" spans="1:9">
      <c r="A112" t="s">
        <v>414</v>
      </c>
      <c r="B112">
        <v>50</v>
      </c>
      <c r="C112">
        <f t="shared" si="8"/>
        <v>50</v>
      </c>
      <c r="E112" s="13" t="s">
        <v>187</v>
      </c>
      <c r="F112" s="13"/>
      <c r="G112" s="34"/>
      <c r="H112" s="35"/>
      <c r="I112" s="34"/>
    </row>
    <row r="113" spans="1:9">
      <c r="A113" t="s">
        <v>417</v>
      </c>
      <c r="B113">
        <v>500</v>
      </c>
      <c r="C113">
        <f t="shared" si="8"/>
        <v>500</v>
      </c>
      <c r="E113" s="13" t="s">
        <v>186</v>
      </c>
      <c r="F113" s="13"/>
      <c r="G113" s="34"/>
      <c r="H113" s="35"/>
      <c r="I113" s="34"/>
    </row>
    <row r="114" spans="1:9">
      <c r="A114" t="s">
        <v>418</v>
      </c>
      <c r="B114">
        <v>200</v>
      </c>
      <c r="C114">
        <f t="shared" si="8"/>
        <v>200</v>
      </c>
      <c r="E114" s="13" t="s">
        <v>186</v>
      </c>
      <c r="F114" s="13"/>
      <c r="G114" s="34"/>
      <c r="H114" s="35"/>
      <c r="I114" s="34"/>
    </row>
    <row r="115" spans="1:9">
      <c r="A115" t="s">
        <v>422</v>
      </c>
      <c r="B115">
        <v>150</v>
      </c>
      <c r="C115">
        <f t="shared" si="8"/>
        <v>150</v>
      </c>
      <c r="E115" s="13" t="s">
        <v>186</v>
      </c>
      <c r="F115" s="13"/>
      <c r="G115" s="34"/>
      <c r="H115" s="35"/>
      <c r="I115" s="34"/>
    </row>
    <row r="116" spans="1:9">
      <c r="A116" s="19" t="s">
        <v>425</v>
      </c>
      <c r="B116" s="19">
        <v>0</v>
      </c>
      <c r="C116" s="19">
        <f t="shared" si="8"/>
        <v>0</v>
      </c>
      <c r="D116" s="19"/>
      <c r="E116" s="20" t="s">
        <v>187</v>
      </c>
      <c r="F116" s="20"/>
      <c r="G116" s="34"/>
      <c r="H116" s="35"/>
      <c r="I116" s="34"/>
    </row>
    <row r="117" spans="1:9">
      <c r="A117" s="19" t="s">
        <v>426</v>
      </c>
      <c r="B117" s="19">
        <v>91</v>
      </c>
      <c r="C117" s="19">
        <f t="shared" si="8"/>
        <v>91</v>
      </c>
      <c r="D117" s="19"/>
      <c r="E117" s="20" t="s">
        <v>187</v>
      </c>
      <c r="F117" s="20"/>
      <c r="G117" s="34"/>
      <c r="H117" s="35"/>
      <c r="I117" s="34"/>
    </row>
    <row r="118" spans="1:9">
      <c r="A118" s="19" t="s">
        <v>427</v>
      </c>
      <c r="B118" s="19">
        <v>165</v>
      </c>
      <c r="C118" s="19">
        <f t="shared" si="8"/>
        <v>165</v>
      </c>
      <c r="D118" s="19"/>
      <c r="E118" s="21">
        <v>1206</v>
      </c>
      <c r="F118" s="21"/>
      <c r="G118" s="34"/>
      <c r="H118" s="35"/>
      <c r="I118" s="34"/>
    </row>
    <row r="119" spans="1:9">
      <c r="A119" s="19" t="s">
        <v>428</v>
      </c>
      <c r="B119" s="19">
        <v>0</v>
      </c>
      <c r="C119" s="19">
        <f t="shared" si="8"/>
        <v>0</v>
      </c>
      <c r="D119" s="19"/>
      <c r="E119" s="21"/>
      <c r="F119" s="21"/>
      <c r="G119" s="34"/>
      <c r="H119" s="35"/>
      <c r="I119" s="34"/>
    </row>
    <row r="120" spans="1:9">
      <c r="A120" s="19" t="s">
        <v>429</v>
      </c>
      <c r="B120" s="19" t="s">
        <v>430</v>
      </c>
      <c r="C120" s="19">
        <f t="shared" si="8"/>
        <v>1620</v>
      </c>
      <c r="D120" s="19"/>
      <c r="E120" s="20" t="s">
        <v>187</v>
      </c>
      <c r="F120" s="20"/>
      <c r="G120" s="34"/>
      <c r="H120" s="35"/>
      <c r="I120" s="34"/>
    </row>
    <row r="121" spans="1:9">
      <c r="A121" s="19" t="s">
        <v>431</v>
      </c>
      <c r="B121" s="19" t="s">
        <v>432</v>
      </c>
      <c r="C121" s="19" t="e">
        <f t="shared" si="8"/>
        <v>#VALUE!</v>
      </c>
      <c r="D121" s="19"/>
      <c r="E121" s="20" t="s">
        <v>187</v>
      </c>
      <c r="F121" s="20"/>
      <c r="G121" s="34"/>
      <c r="H121" s="35"/>
      <c r="I121" s="34"/>
    </row>
    <row r="122" spans="1:9">
      <c r="A122" s="19" t="s">
        <v>433</v>
      </c>
      <c r="B122" s="19">
        <v>287</v>
      </c>
      <c r="C122" s="19">
        <f t="shared" si="8"/>
        <v>287</v>
      </c>
      <c r="D122" s="19"/>
      <c r="E122" s="20" t="s">
        <v>186</v>
      </c>
      <c r="F122" s="20"/>
      <c r="G122" s="34"/>
      <c r="H122" s="35"/>
      <c r="I122" s="34"/>
    </row>
    <row r="123" spans="1:9">
      <c r="A123" s="19" t="s">
        <v>434</v>
      </c>
      <c r="B123" s="19">
        <v>43.2</v>
      </c>
      <c r="C123" s="19">
        <f t="shared" si="8"/>
        <v>43.2</v>
      </c>
      <c r="D123" s="19"/>
      <c r="E123" s="20" t="s">
        <v>205</v>
      </c>
      <c r="F123" s="20"/>
      <c r="G123" s="34"/>
      <c r="H123" s="35"/>
      <c r="I123" s="34"/>
    </row>
    <row r="124" spans="1:9">
      <c r="A124" s="19" t="s">
        <v>435</v>
      </c>
      <c r="B124" s="19">
        <v>3.9</v>
      </c>
      <c r="C124" s="19">
        <f t="shared" si="8"/>
        <v>3.9</v>
      </c>
      <c r="D124" s="19"/>
      <c r="E124" s="20" t="s">
        <v>205</v>
      </c>
      <c r="F124" s="20"/>
      <c r="G124" s="34"/>
      <c r="H124" s="35"/>
      <c r="I124" s="34"/>
    </row>
    <row r="125" spans="1:9">
      <c r="A125" s="19" t="s">
        <v>436</v>
      </c>
      <c r="B125" s="19" t="s">
        <v>437</v>
      </c>
      <c r="C125" s="19">
        <f t="shared" si="8"/>
        <v>41200</v>
      </c>
      <c r="D125" s="19"/>
      <c r="E125" s="20" t="s">
        <v>187</v>
      </c>
      <c r="F125" s="20"/>
      <c r="G125" s="34"/>
      <c r="H125" s="35"/>
      <c r="I125" s="34"/>
    </row>
    <row r="126" spans="1:9">
      <c r="A126" s="19" t="s">
        <v>438</v>
      </c>
      <c r="B126" s="19">
        <v>243</v>
      </c>
      <c r="C126" s="19">
        <f t="shared" si="8"/>
        <v>243</v>
      </c>
      <c r="D126" s="19"/>
      <c r="E126" s="21">
        <v>1206</v>
      </c>
      <c r="F126" s="21"/>
      <c r="G126" s="34"/>
      <c r="H126" s="35"/>
      <c r="I126" s="34"/>
    </row>
    <row r="127" spans="1:9">
      <c r="A127" s="19" t="s">
        <v>439</v>
      </c>
      <c r="B127" s="19">
        <v>47</v>
      </c>
      <c r="C127" s="19">
        <f t="shared" si="8"/>
        <v>47</v>
      </c>
      <c r="D127" s="19"/>
      <c r="E127" s="21">
        <v>1206</v>
      </c>
      <c r="F127" s="21"/>
      <c r="G127" s="34"/>
      <c r="H127" s="35"/>
      <c r="I127" s="34"/>
    </row>
    <row r="128" spans="1:9">
      <c r="A128" s="19" t="s">
        <v>440</v>
      </c>
      <c r="B128" s="19" t="s">
        <v>441</v>
      </c>
      <c r="C128" s="19">
        <f t="shared" si="8"/>
        <v>62000</v>
      </c>
      <c r="D128" s="19"/>
      <c r="E128" s="20" t="s">
        <v>187</v>
      </c>
      <c r="F128" s="20"/>
      <c r="G128" s="34"/>
      <c r="H128" s="35"/>
      <c r="I128" s="34"/>
    </row>
    <row r="129" spans="1:9">
      <c r="A129" s="19" t="s">
        <v>442</v>
      </c>
      <c r="B129" s="19">
        <v>470</v>
      </c>
      <c r="C129" s="19">
        <f t="shared" si="8"/>
        <v>470</v>
      </c>
      <c r="D129" s="19"/>
      <c r="E129" s="21">
        <v>1206</v>
      </c>
      <c r="F129" s="21"/>
      <c r="G129" s="34"/>
      <c r="H129" s="35"/>
      <c r="I129" s="34"/>
    </row>
    <row r="130" spans="1:9">
      <c r="A130" s="19" t="s">
        <v>443</v>
      </c>
      <c r="B130" s="19" t="s">
        <v>444</v>
      </c>
      <c r="C130" s="19">
        <f t="shared" si="8"/>
        <v>2870</v>
      </c>
      <c r="D130" s="19"/>
      <c r="E130" s="20" t="s">
        <v>186</v>
      </c>
      <c r="F130" s="20"/>
      <c r="G130" s="34"/>
      <c r="H130" s="35"/>
      <c r="I130" s="34"/>
    </row>
    <row r="131" spans="1:9">
      <c r="A131" s="19" t="s">
        <v>445</v>
      </c>
      <c r="B131" s="19" t="s">
        <v>446</v>
      </c>
      <c r="C131" s="19">
        <f>IF(RIGHT(B131,1)="K",VALUE(LEFT(B131,LEN(B131)-1))*1000,VALUE(B131))</f>
        <v>4990</v>
      </c>
      <c r="D131" s="19"/>
      <c r="E131" s="20" t="s">
        <v>186</v>
      </c>
      <c r="F131" s="20"/>
      <c r="G131" s="34"/>
      <c r="H131" s="35"/>
      <c r="I131" s="34"/>
    </row>
    <row r="132" spans="1:9">
      <c r="A132" s="19" t="s">
        <v>447</v>
      </c>
      <c r="B132" s="19" t="s">
        <v>225</v>
      </c>
      <c r="C132" s="19">
        <f>IF(RIGHT(B132,1)="K",VALUE(LEFT(B132,LEN(B132)-1))*1000,VALUE(B132))</f>
        <v>1000</v>
      </c>
      <c r="D132" s="19"/>
      <c r="E132" s="21">
        <v>1206</v>
      </c>
      <c r="F132" s="21"/>
      <c r="G132" s="34"/>
      <c r="H132" s="35"/>
      <c r="I132" s="34"/>
    </row>
    <row r="133" spans="1:9">
      <c r="A133" s="19" t="s">
        <v>448</v>
      </c>
      <c r="B133" s="19">
        <v>10</v>
      </c>
      <c r="C133" s="19">
        <f t="shared" ref="C133:C138" si="9">IF(RIGHT(B133,1)="K",VALUE(LEFT(B133,LEN(B133)-1))*1000,VALUE(B133))</f>
        <v>10</v>
      </c>
      <c r="D133" s="19"/>
      <c r="E133" s="20" t="s">
        <v>187</v>
      </c>
      <c r="F133" s="20"/>
      <c r="G133" s="34"/>
      <c r="H133" s="35"/>
      <c r="I133" s="34"/>
    </row>
    <row r="134" spans="1:9">
      <c r="A134" s="19" t="s">
        <v>449</v>
      </c>
      <c r="B134" s="19">
        <v>60.4</v>
      </c>
      <c r="C134" s="19">
        <f t="shared" si="9"/>
        <v>60.4</v>
      </c>
      <c r="D134" s="19"/>
      <c r="E134" s="21">
        <v>1206</v>
      </c>
      <c r="F134" s="21"/>
      <c r="G134" s="34"/>
      <c r="H134" s="35"/>
      <c r="I134" s="34"/>
    </row>
    <row r="135" spans="1:9">
      <c r="A135" s="19" t="s">
        <v>450</v>
      </c>
      <c r="B135" s="19" t="s">
        <v>451</v>
      </c>
      <c r="C135" s="19">
        <f t="shared" si="9"/>
        <v>2000</v>
      </c>
      <c r="D135" s="19"/>
      <c r="E135" s="20" t="s">
        <v>187</v>
      </c>
      <c r="F135" s="20"/>
    </row>
    <row r="136" spans="1:9">
      <c r="A136" s="19" t="s">
        <v>452</v>
      </c>
      <c r="B136" s="19" t="s">
        <v>225</v>
      </c>
      <c r="C136" s="19">
        <f t="shared" si="9"/>
        <v>1000</v>
      </c>
      <c r="D136" s="19"/>
      <c r="E136" s="20" t="s">
        <v>186</v>
      </c>
      <c r="F136" s="20"/>
    </row>
    <row r="137" spans="1:9">
      <c r="A137" s="19" t="s">
        <v>453</v>
      </c>
      <c r="B137" s="19">
        <v>100</v>
      </c>
      <c r="C137" s="19">
        <f t="shared" si="9"/>
        <v>100</v>
      </c>
      <c r="D137" s="19"/>
      <c r="E137" s="21">
        <v>1206</v>
      </c>
      <c r="F137" s="21"/>
    </row>
    <row r="138" spans="1:9">
      <c r="A138" s="19" t="s">
        <v>454</v>
      </c>
      <c r="B138" s="19" t="s">
        <v>213</v>
      </c>
      <c r="C138" s="19">
        <f t="shared" si="9"/>
        <v>200000</v>
      </c>
      <c r="D138" s="19"/>
      <c r="E138" s="20" t="s">
        <v>187</v>
      </c>
      <c r="F138" s="20"/>
    </row>
    <row r="143" spans="1:9">
      <c r="A143" s="19" t="s">
        <v>548</v>
      </c>
      <c r="B143" t="s">
        <v>549</v>
      </c>
      <c r="E143" s="13" t="s">
        <v>205</v>
      </c>
      <c r="F143" s="13"/>
    </row>
  </sheetData>
  <sortState ref="G3:K83">
    <sortCondition ref="I3:I83"/>
  </sortState>
  <mergeCells count="6">
    <mergeCell ref="AU1:AY1"/>
    <mergeCell ref="AP1:AS1"/>
    <mergeCell ref="A1:E1"/>
    <mergeCell ref="G1:K1"/>
    <mergeCell ref="M1:P1"/>
    <mergeCell ref="T1: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4F4F-36F0-49B5-966B-F0F91C8DEF37}">
  <dimension ref="A1:F82"/>
  <sheetViews>
    <sheetView topLeftCell="A61" workbookViewId="0">
      <selection activeCell="G4" sqref="G4"/>
    </sheetView>
  </sheetViews>
  <sheetFormatPr defaultRowHeight="13.8"/>
  <cols>
    <col min="1" max="1" width="19.296875" style="39" customWidth="1"/>
    <col min="2" max="2" width="12.69921875" style="39" customWidth="1"/>
    <col min="3" max="3" width="17.8984375" style="39" customWidth="1"/>
    <col min="4" max="4" width="18.8984375" style="39" customWidth="1"/>
    <col min="5" max="5" width="30.09765625" style="39" customWidth="1"/>
  </cols>
  <sheetData>
    <row r="1" spans="1:6" ht="15.6">
      <c r="A1" s="45" t="s">
        <v>181</v>
      </c>
      <c r="B1" s="45" t="s">
        <v>198</v>
      </c>
      <c r="C1" s="45" t="s">
        <v>231</v>
      </c>
      <c r="D1" s="45" t="s">
        <v>184</v>
      </c>
      <c r="E1" s="45" t="s">
        <v>183</v>
      </c>
      <c r="F1" s="45" t="s">
        <v>618</v>
      </c>
    </row>
    <row r="2" spans="1:6">
      <c r="A2" s="40"/>
      <c r="B2" s="40" t="s">
        <v>378</v>
      </c>
      <c r="C2" s="39">
        <f>IF(ISNUMBER(SEARCH("pF",B2)), VALUE(LEFT(B2,SEARCH("pF",B2)-1)),
 IF(ISNUMBER(SEARCH("nF",B2)), VALUE(LEFT(B2,SEARCH("nF",B2)-1))*1000,
 IF(ISNUMBER(SEARCH("uF",B2)), VALUE(LEFT(B2,SEARCH("uF",B2)-1))*1000000,"")))</f>
        <v>0.1</v>
      </c>
      <c r="D2" s="40" t="s">
        <v>379</v>
      </c>
      <c r="E2" s="43" t="s">
        <v>380</v>
      </c>
    </row>
    <row r="3" spans="1:6">
      <c r="A3" s="41" t="s">
        <v>377</v>
      </c>
      <c r="B3" s="39" t="s">
        <v>609</v>
      </c>
      <c r="C3" s="41">
        <f>IF(ISNUMBER(SEARCH("pF",B3)), VALUE(LEFT(B3,SEARCH("pF",B3)-1)),
 IF(ISNUMBER(SEARCH("nF",B3)), VALUE(LEFT(B3,SEARCH("nF",B3)-1))*1000,
 IF(ISNUMBER(SEARCH("µF",B3)), VALUE(LEFT(B3,SEARCH("µF",B3)-1))*1000000,"")))</f>
        <v>0.1</v>
      </c>
      <c r="D3" s="40"/>
      <c r="E3" s="39">
        <v>505</v>
      </c>
    </row>
    <row r="4" spans="1:6">
      <c r="A4" s="40"/>
      <c r="B4" s="41" t="s">
        <v>480</v>
      </c>
      <c r="C4" s="41">
        <f t="shared" ref="C4:C10" si="0">IF(ISNUMBER(SEARCH("pF",B4)), VALUE(LEFT(B4,SEARCH("pF",B4)-1)),
 IF(ISNUMBER(SEARCH("nF",B4)), VALUE(LEFT(B4,SEARCH("nF",B4)-1))*1000,
 IF(ISNUMBER(SEARCH("uF",B4)), VALUE(LEFT(B4,SEARCH("uF",B4)-1))*1000000,"")))</f>
        <v>0.2</v>
      </c>
      <c r="D4" s="41">
        <v>250</v>
      </c>
      <c r="E4" s="44" t="s">
        <v>187</v>
      </c>
    </row>
    <row r="5" spans="1:6">
      <c r="A5" s="40" t="s">
        <v>580</v>
      </c>
      <c r="B5" s="42" t="s">
        <v>581</v>
      </c>
      <c r="C5" s="41">
        <f t="shared" si="0"/>
        <v>0.2</v>
      </c>
      <c r="D5" s="42"/>
      <c r="E5" s="42">
        <v>603</v>
      </c>
    </row>
    <row r="6" spans="1:6">
      <c r="A6" s="40"/>
      <c r="B6" s="41" t="s">
        <v>477</v>
      </c>
      <c r="C6" s="41">
        <f t="shared" si="0"/>
        <v>0.3</v>
      </c>
      <c r="D6" s="41">
        <v>250</v>
      </c>
      <c r="E6" s="44" t="s">
        <v>187</v>
      </c>
    </row>
    <row r="7" spans="1:6">
      <c r="A7" s="40" t="s">
        <v>476</v>
      </c>
      <c r="B7" s="40" t="s">
        <v>582</v>
      </c>
      <c r="C7" s="41">
        <f t="shared" si="0"/>
        <v>0.3</v>
      </c>
      <c r="D7" s="40"/>
      <c r="E7" s="42">
        <v>603</v>
      </c>
    </row>
    <row r="8" spans="1:6">
      <c r="A8" s="40"/>
      <c r="B8" s="40" t="s">
        <v>350</v>
      </c>
      <c r="C8" s="39">
        <f t="shared" si="0"/>
        <v>0.9</v>
      </c>
      <c r="D8" s="40" t="s">
        <v>348</v>
      </c>
      <c r="E8" s="43" t="s">
        <v>186</v>
      </c>
    </row>
    <row r="9" spans="1:6">
      <c r="A9" s="42"/>
      <c r="B9" s="41" t="s">
        <v>479</v>
      </c>
      <c r="C9" s="41">
        <f t="shared" si="0"/>
        <v>0.9</v>
      </c>
      <c r="D9" s="41">
        <v>250</v>
      </c>
      <c r="E9" s="44" t="s">
        <v>187</v>
      </c>
    </row>
    <row r="10" spans="1:6">
      <c r="A10" s="40" t="s">
        <v>478</v>
      </c>
      <c r="B10" s="40" t="s">
        <v>583</v>
      </c>
      <c r="C10" s="41">
        <f t="shared" si="0"/>
        <v>0.9</v>
      </c>
      <c r="D10" s="40"/>
      <c r="E10" s="42" t="s">
        <v>187</v>
      </c>
    </row>
    <row r="11" spans="1:6">
      <c r="A11" s="41" t="s">
        <v>349</v>
      </c>
      <c r="B11" s="40" t="s">
        <v>583</v>
      </c>
      <c r="C11" s="41">
        <f>IF(ISNUMBER(SEARCH("pF",B11)), VALUE(LEFT(B11,SEARCH("pF",B11)-1)),
 IF(ISNUMBER(SEARCH("nF",B11)), VALUE(LEFT(B11,SEARCH("nF",B11)-1))*1000,
 IF(ISNUMBER(SEARCH("µF",B11)), VALUE(LEFT(B11,SEARCH("µF",B11)-1))*1000000,"")))</f>
        <v>0.9</v>
      </c>
      <c r="D11" s="40"/>
      <c r="E11" s="42">
        <v>402</v>
      </c>
    </row>
    <row r="12" spans="1:6">
      <c r="A12" s="40"/>
      <c r="B12" s="40" t="s">
        <v>199</v>
      </c>
      <c r="C12" s="39">
        <f>IF(ISNUMBER(SEARCH("pF",B12)), VALUE(LEFT(B12,SEARCH("pF",B12)-1)),
 IF(ISNUMBER(SEARCH("nF",B12)), VALUE(LEFT(B12,SEARCH("nF",B12)-1))*1000,
 IF(ISNUMBER(SEARCH("uF",B12)), VALUE(LEFT(B12,SEARCH("uF",B12)-1))*1000000,"")))</f>
        <v>1</v>
      </c>
      <c r="D12" s="40"/>
      <c r="E12" s="42" t="s">
        <v>186</v>
      </c>
    </row>
    <row r="13" spans="1:6">
      <c r="A13" s="40"/>
      <c r="B13" s="40" t="s">
        <v>199</v>
      </c>
      <c r="C13" s="39">
        <f>IF(ISNUMBER(SEARCH("pF",B13)), VALUE(LEFT(B13,SEARCH("pF",B13)-1)),
 IF(ISNUMBER(SEARCH("nF",B13)), VALUE(LEFT(B13,SEARCH("nF",B13)-1))*1000,
 IF(ISNUMBER(SEARCH("uF",B13)), VALUE(LEFT(B13,SEARCH("uF",B13)-1))*1000000,"")))</f>
        <v>1</v>
      </c>
      <c r="D13" s="40"/>
      <c r="E13" s="42" t="s">
        <v>186</v>
      </c>
    </row>
    <row r="14" spans="1:6">
      <c r="A14" s="40"/>
      <c r="B14" s="40" t="s">
        <v>424</v>
      </c>
      <c r="C14" s="39">
        <f>IF(ISNUMBER(SEARCH("pF",B14)), VALUE(LEFT(B14,SEARCH("pF",B14)-1)),
 IF(ISNUMBER(SEARCH("nF",B14)), VALUE(LEFT(B14,SEARCH("nF",B14)-1))*1000,
 IF(ISNUMBER(SEARCH("uF",B14)), VALUE(LEFT(B14,SEARCH("uF",B14)-1))*1000000,"")))</f>
        <v>1</v>
      </c>
      <c r="D14" s="40" t="s">
        <v>348</v>
      </c>
    </row>
    <row r="15" spans="1:6">
      <c r="A15" s="41" t="s">
        <v>423</v>
      </c>
      <c r="B15" s="39" t="s">
        <v>613</v>
      </c>
      <c r="C15" s="41">
        <f>IF(ISNUMBER(SEARCH("pF",B15)), VALUE(LEFT(B15,SEARCH("pF",B15)-1)),
 IF(ISNUMBER(SEARCH("nF",B15)), VALUE(LEFT(B15,SEARCH("nF",B15)-1))*1000,
 IF(ISNUMBER(SEARCH("µF",B15)), VALUE(LEFT(B15,SEARCH("µF",B15)-1))*1000000,"")))</f>
        <v>1</v>
      </c>
      <c r="D15" s="42"/>
      <c r="E15" s="39" t="s">
        <v>612</v>
      </c>
    </row>
    <row r="16" spans="1:6">
      <c r="A16" s="40"/>
      <c r="B16" s="40" t="s">
        <v>352</v>
      </c>
      <c r="C16" s="39">
        <f>IF(ISNUMBER(SEARCH("pF",B16)), VALUE(LEFT(B16,SEARCH("pF",B16)-1)),
 IF(ISNUMBER(SEARCH("nF",B16)), VALUE(LEFT(B16,SEARCH("nF",B16)-1))*1000,
 IF(ISNUMBER(SEARCH("uF",B16)), VALUE(LEFT(B16,SEARCH("uF",B16)-1))*1000000,"")))</f>
        <v>1.8</v>
      </c>
      <c r="D16" s="40" t="s">
        <v>348</v>
      </c>
      <c r="E16" s="42" t="s">
        <v>186</v>
      </c>
    </row>
    <row r="17" spans="1:5">
      <c r="A17" s="41" t="s">
        <v>351</v>
      </c>
      <c r="B17" s="40" t="s">
        <v>600</v>
      </c>
      <c r="C17" s="41">
        <f>IF(ISNUMBER(SEARCH("pF",B17)), VALUE(LEFT(B17,SEARCH("pF",B17)-1)),
 IF(ISNUMBER(SEARCH("nF",B17)), VALUE(LEFT(B17,SEARCH("nF",B17)-1))*1000,
 IF(ISNUMBER(SEARCH("µF",B17)), VALUE(LEFT(B17,SEARCH("µF",B17)-1))*1000000,"")))</f>
        <v>1.8</v>
      </c>
      <c r="D17" s="40"/>
      <c r="E17" s="39">
        <v>402</v>
      </c>
    </row>
    <row r="18" spans="1:5">
      <c r="A18" s="40"/>
      <c r="B18" s="40" t="s">
        <v>204</v>
      </c>
      <c r="C18" s="39">
        <f>IF(ISNUMBER(SEARCH("pF",B18)), VALUE(LEFT(B18,SEARCH("pF",B18)-1)),
 IF(ISNUMBER(SEARCH("nF",B18)), VALUE(LEFT(B18,SEARCH("nF",B18)-1))*1000,
 IF(ISNUMBER(SEARCH("uF",B18)), VALUE(LEFT(B18,SEARCH("uF",B18)-1))*1000000,"")))</f>
        <v>2.2000000000000002</v>
      </c>
      <c r="D18" s="40"/>
      <c r="E18" s="42" t="s">
        <v>187</v>
      </c>
    </row>
    <row r="19" spans="1:5">
      <c r="A19" s="40" t="s">
        <v>353</v>
      </c>
      <c r="B19" s="41" t="s">
        <v>587</v>
      </c>
      <c r="C19" s="41">
        <f>IF(ISNUMBER(SEARCH("pF",B19)), VALUE(LEFT(B19,SEARCH("pF",B19)-1)),
 IF(ISNUMBER(SEARCH("nF",B19)), VALUE(LEFT(B19,SEARCH("nF",B19)-1))*1000,
 IF(ISNUMBER(SEARCH("µF",B19)), VALUE(LEFT(B19,SEARCH("µF",B19)-1))*1000000,"")))</f>
        <v>3</v>
      </c>
      <c r="D19" s="41"/>
      <c r="E19" s="44">
        <v>402</v>
      </c>
    </row>
    <row r="20" spans="1:5">
      <c r="A20" s="40"/>
      <c r="B20" s="40" t="s">
        <v>354</v>
      </c>
      <c r="C20" s="39">
        <f t="shared" ref="C20:C26" si="1">IF(ISNUMBER(SEARCH("pF",B20)), VALUE(LEFT(B20,SEARCH("pF",B20)-1)),
 IF(ISNUMBER(SEARCH("nF",B20)), VALUE(LEFT(B20,SEARCH("nF",B20)-1))*1000,
 IF(ISNUMBER(SEARCH("uF",B20)), VALUE(LEFT(B20,SEARCH("uF",B20)-1))*1000000,"")))</f>
        <v>3.9</v>
      </c>
      <c r="D20" s="40" t="s">
        <v>355</v>
      </c>
      <c r="E20" s="42" t="s">
        <v>186</v>
      </c>
    </row>
    <row r="21" spans="1:5">
      <c r="A21" s="42"/>
      <c r="B21" s="40" t="s">
        <v>361</v>
      </c>
      <c r="C21" s="39">
        <f t="shared" si="1"/>
        <v>4.7</v>
      </c>
      <c r="D21" s="40" t="s">
        <v>362</v>
      </c>
      <c r="E21" s="43" t="s">
        <v>187</v>
      </c>
    </row>
    <row r="22" spans="1:5">
      <c r="A22" s="40"/>
      <c r="B22" s="41" t="s">
        <v>458</v>
      </c>
      <c r="C22" s="41">
        <f t="shared" si="1"/>
        <v>4.7</v>
      </c>
      <c r="D22" s="41">
        <v>250</v>
      </c>
      <c r="E22" s="44" t="s">
        <v>187</v>
      </c>
    </row>
    <row r="23" spans="1:5">
      <c r="A23" s="40" t="s">
        <v>457</v>
      </c>
      <c r="B23" s="41" t="s">
        <v>584</v>
      </c>
      <c r="C23" s="41">
        <f t="shared" si="1"/>
        <v>4.7</v>
      </c>
      <c r="D23" s="41"/>
      <c r="E23" s="44">
        <v>603</v>
      </c>
    </row>
    <row r="24" spans="1:5">
      <c r="A24" s="40" t="s">
        <v>360</v>
      </c>
      <c r="B24" s="40" t="s">
        <v>584</v>
      </c>
      <c r="C24" s="41">
        <f t="shared" si="1"/>
        <v>4.7</v>
      </c>
      <c r="D24" s="40"/>
      <c r="E24" s="43">
        <v>603</v>
      </c>
    </row>
    <row r="25" spans="1:5">
      <c r="A25" s="40"/>
      <c r="B25" s="41" t="s">
        <v>470</v>
      </c>
      <c r="C25" s="41">
        <f t="shared" si="1"/>
        <v>5.6</v>
      </c>
      <c r="D25" s="41">
        <v>250</v>
      </c>
      <c r="E25" s="44" t="s">
        <v>187</v>
      </c>
    </row>
    <row r="26" spans="1:5">
      <c r="A26" s="40" t="s">
        <v>481</v>
      </c>
      <c r="B26" s="40" t="s">
        <v>585</v>
      </c>
      <c r="C26" s="41">
        <f t="shared" si="1"/>
        <v>5.6</v>
      </c>
      <c r="D26" s="40"/>
      <c r="E26" s="42">
        <v>603</v>
      </c>
    </row>
    <row r="27" spans="1:5">
      <c r="A27" s="40" t="s">
        <v>469</v>
      </c>
      <c r="B27" s="40" t="s">
        <v>585</v>
      </c>
      <c r="C27" s="41">
        <f>IF(ISNUMBER(SEARCH("pF",B27)), VALUE(LEFT(B27,SEARCH("pF",B27)-1)),
 IF(ISNUMBER(SEARCH("nF",B27)), VALUE(LEFT(B27,SEARCH("nF",B27)-1))*1000,
 IF(ISNUMBER(SEARCH("µF",B27)), VALUE(LEFT(B27,SEARCH("µF",B27)-1))*1000000,"")))</f>
        <v>5.6</v>
      </c>
      <c r="D27" s="40"/>
      <c r="E27" s="43">
        <v>603</v>
      </c>
    </row>
    <row r="28" spans="1:5">
      <c r="A28" s="40"/>
      <c r="B28" s="41" t="s">
        <v>465</v>
      </c>
      <c r="C28" s="41">
        <f t="shared" ref="C28:C39" si="2">IF(ISNUMBER(SEARCH("pF",B28)), VALUE(LEFT(B28,SEARCH("pF",B28)-1)),
 IF(ISNUMBER(SEARCH("nF",B28)), VALUE(LEFT(B28,SEARCH("nF",B28)-1))*1000,
 IF(ISNUMBER(SEARCH("uF",B28)), VALUE(LEFT(B28,SEARCH("uF",B28)-1))*1000000,"")))</f>
        <v>6.8</v>
      </c>
      <c r="D28" s="41">
        <v>250</v>
      </c>
      <c r="E28" s="44" t="s">
        <v>187</v>
      </c>
    </row>
    <row r="29" spans="1:5">
      <c r="A29" s="40" t="s">
        <v>464</v>
      </c>
      <c r="B29" s="40" t="s">
        <v>586</v>
      </c>
      <c r="C29" s="41">
        <f t="shared" si="2"/>
        <v>6.8</v>
      </c>
      <c r="D29" s="40"/>
      <c r="E29" s="42">
        <v>603</v>
      </c>
    </row>
    <row r="30" spans="1:5">
      <c r="A30" s="40"/>
      <c r="B30" s="40" t="s">
        <v>203</v>
      </c>
      <c r="C30" s="39">
        <f t="shared" si="2"/>
        <v>8.1999999999999993</v>
      </c>
      <c r="D30" s="40"/>
      <c r="E30" s="42" t="s">
        <v>187</v>
      </c>
    </row>
    <row r="31" spans="1:5">
      <c r="A31" s="40"/>
      <c r="B31" s="40" t="s">
        <v>206</v>
      </c>
      <c r="C31" s="39">
        <f t="shared" si="2"/>
        <v>10</v>
      </c>
      <c r="D31" s="40"/>
      <c r="E31" s="42" t="s">
        <v>205</v>
      </c>
    </row>
    <row r="32" spans="1:5">
      <c r="A32" s="40"/>
      <c r="B32" s="40" t="s">
        <v>373</v>
      </c>
      <c r="C32" s="39">
        <f t="shared" si="2"/>
        <v>10</v>
      </c>
      <c r="D32" s="40" t="s">
        <v>355</v>
      </c>
      <c r="E32" s="43" t="s">
        <v>205</v>
      </c>
    </row>
    <row r="33" spans="1:5">
      <c r="A33" s="40" t="s">
        <v>372</v>
      </c>
      <c r="B33" s="40" t="s">
        <v>579</v>
      </c>
      <c r="C33" s="41">
        <f t="shared" si="2"/>
        <v>10</v>
      </c>
      <c r="D33" s="40"/>
      <c r="E33" s="43">
        <v>805</v>
      </c>
    </row>
    <row r="34" spans="1:5">
      <c r="A34" s="40"/>
      <c r="B34" s="40" t="s">
        <v>201</v>
      </c>
      <c r="C34" s="39">
        <f t="shared" si="2"/>
        <v>11</v>
      </c>
      <c r="D34" s="40"/>
      <c r="E34" s="42" t="s">
        <v>187</v>
      </c>
    </row>
    <row r="35" spans="1:5">
      <c r="A35" s="40"/>
      <c r="B35" s="40" t="s">
        <v>202</v>
      </c>
      <c r="C35" s="39">
        <f t="shared" si="2"/>
        <v>13</v>
      </c>
      <c r="D35" s="40"/>
      <c r="E35" s="42" t="s">
        <v>187</v>
      </c>
    </row>
    <row r="36" spans="1:5">
      <c r="A36" s="40"/>
      <c r="B36" s="40" t="s">
        <v>208</v>
      </c>
      <c r="C36" s="39">
        <f t="shared" si="2"/>
        <v>20</v>
      </c>
      <c r="D36" s="40"/>
      <c r="E36" s="42" t="s">
        <v>187</v>
      </c>
    </row>
    <row r="37" spans="1:5">
      <c r="A37" s="40"/>
      <c r="B37" s="42" t="s">
        <v>207</v>
      </c>
      <c r="C37" s="39">
        <f t="shared" si="2"/>
        <v>22</v>
      </c>
      <c r="D37" s="42"/>
      <c r="E37" s="42" t="s">
        <v>196</v>
      </c>
    </row>
    <row r="38" spans="1:5">
      <c r="A38" s="40"/>
      <c r="B38" s="40" t="s">
        <v>207</v>
      </c>
      <c r="C38" s="39">
        <f t="shared" si="2"/>
        <v>22</v>
      </c>
      <c r="D38" s="40"/>
      <c r="E38" s="42" t="s">
        <v>209</v>
      </c>
    </row>
    <row r="39" spans="1:5">
      <c r="A39" s="40"/>
      <c r="B39" s="40" t="s">
        <v>389</v>
      </c>
      <c r="C39" s="39">
        <f t="shared" si="2"/>
        <v>27</v>
      </c>
      <c r="D39" s="40" t="s">
        <v>355</v>
      </c>
      <c r="E39" s="43" t="s">
        <v>205</v>
      </c>
    </row>
    <row r="40" spans="1:5">
      <c r="A40" s="41" t="s">
        <v>388</v>
      </c>
      <c r="B40" s="41" t="s">
        <v>602</v>
      </c>
      <c r="C40" s="41">
        <f>IF(ISNUMBER(SEARCH("pF",B40)), VALUE(LEFT(B40,SEARCH("pF",B40)-1)),
 IF(ISNUMBER(SEARCH("nF",B40)), VALUE(LEFT(B40,SEARCH("nF",B40)-1))*1000,
 IF(ISNUMBER(SEARCH("µF",B40)), VALUE(LEFT(B40,SEARCH("µF",B40)-1))*1000000,"")))</f>
        <v>27</v>
      </c>
      <c r="D40" s="41"/>
      <c r="E40" s="44">
        <v>805</v>
      </c>
    </row>
    <row r="41" spans="1:5">
      <c r="A41" s="40"/>
      <c r="B41" s="41" t="s">
        <v>472</v>
      </c>
      <c r="C41" s="41">
        <f>IF(ISNUMBER(SEARCH("pF",B41)), VALUE(LEFT(B41,SEARCH("pF",B41)-1)),
 IF(ISNUMBER(SEARCH("nF",B41)), VALUE(LEFT(B41,SEARCH("nF",B41)-1))*1000,
 IF(ISNUMBER(SEARCH("uF",B41)), VALUE(LEFT(B41,SEARCH("uF",B41)-1))*1000000,"")))</f>
        <v>47</v>
      </c>
      <c r="D41" s="41">
        <v>50</v>
      </c>
      <c r="E41" s="44" t="s">
        <v>187</v>
      </c>
    </row>
    <row r="42" spans="1:5">
      <c r="A42" s="40" t="s">
        <v>471</v>
      </c>
      <c r="B42" s="40" t="s">
        <v>577</v>
      </c>
      <c r="C42" s="41">
        <f>IF(ISNUMBER(SEARCH("pF",B42)), VALUE(LEFT(B42,SEARCH("pF",B42)-1)),
 IF(ISNUMBER(SEARCH("nF",B42)), VALUE(LEFT(B42,SEARCH("nF",B42)-1))*1000,
 IF(ISNUMBER(SEARCH("uF",B42)), VALUE(LEFT(B42,SEARCH("uF",B42)-1))*1000000,"")))</f>
        <v>47</v>
      </c>
      <c r="D42" s="40"/>
      <c r="E42" s="43">
        <v>603</v>
      </c>
    </row>
    <row r="43" spans="1:5">
      <c r="A43" s="40"/>
      <c r="B43" s="41" t="s">
        <v>468</v>
      </c>
      <c r="C43" s="41">
        <f>IF(ISNUMBER(SEARCH("pF",B43)), VALUE(LEFT(B43,SEARCH("pF",B43)-1)),
 IF(ISNUMBER(SEARCH("nF",B43)), VALUE(LEFT(B43,SEARCH("nF",B43)-1))*1000,
 IF(ISNUMBER(SEARCH("uF",B43)), VALUE(LEFT(B43,SEARCH("uF",B43)-1))*1000000,"")))</f>
        <v>56</v>
      </c>
      <c r="D43" s="41">
        <v>50</v>
      </c>
      <c r="E43" s="44" t="s">
        <v>187</v>
      </c>
    </row>
    <row r="44" spans="1:5">
      <c r="A44" s="40" t="s">
        <v>467</v>
      </c>
      <c r="B44" s="40" t="s">
        <v>588</v>
      </c>
      <c r="C44" s="41">
        <f>IF(ISNUMBER(SEARCH("pF",B44)), VALUE(LEFT(B44,SEARCH("pF",B44)-1)),
 IF(ISNUMBER(SEARCH("nF",B44)), VALUE(LEFT(B44,SEARCH("nF",B44)-1))*1000,
 IF(ISNUMBER(SEARCH("µF",B44)), VALUE(LEFT(B44,SEARCH("µF",B44)-1))*1000000,"")))</f>
        <v>56</v>
      </c>
      <c r="D44" s="40"/>
      <c r="E44" s="39">
        <v>603</v>
      </c>
    </row>
    <row r="45" spans="1:5">
      <c r="A45" s="40"/>
      <c r="B45" s="41" t="s">
        <v>463</v>
      </c>
      <c r="C45" s="41">
        <f>IF(ISNUMBER(SEARCH("pF",B45)), VALUE(LEFT(B45,SEARCH("pF",B45)-1)),
 IF(ISNUMBER(SEARCH("nF",B45)), VALUE(LEFT(B45,SEARCH("nF",B45)-1))*1000,
 IF(ISNUMBER(SEARCH("uF",B45)), VALUE(LEFT(B45,SEARCH("uF",B45)-1))*1000000,"")))</f>
        <v>68</v>
      </c>
      <c r="D45" s="41">
        <v>50</v>
      </c>
      <c r="E45" s="44" t="s">
        <v>187</v>
      </c>
    </row>
    <row r="46" spans="1:5">
      <c r="A46" s="40"/>
      <c r="B46" s="41" t="s">
        <v>463</v>
      </c>
      <c r="C46" s="41">
        <f>IF(ISNUMBER(SEARCH("pF",B46)), VALUE(LEFT(B46,SEARCH("pF",B46)-1)),
 IF(ISNUMBER(SEARCH("nF",B46)), VALUE(LEFT(B46,SEARCH("nF",B46)-1))*1000,
 IF(ISNUMBER(SEARCH("uF",B46)), VALUE(LEFT(B46,SEARCH("uF",B46)-1))*1000000,"")))</f>
        <v>68</v>
      </c>
      <c r="D46" s="41">
        <v>50</v>
      </c>
      <c r="E46" s="44" t="s">
        <v>187</v>
      </c>
    </row>
    <row r="47" spans="1:5">
      <c r="A47" s="39" t="s">
        <v>473</v>
      </c>
      <c r="B47" s="41" t="s">
        <v>578</v>
      </c>
      <c r="C47" s="41">
        <f>IF(ISNUMBER(SEARCH("pF",B47)), VALUE(LEFT(B47,SEARCH("pF",B47)-1)),
 IF(ISNUMBER(SEARCH("nF",B47)), VALUE(LEFT(B47,SEARCH("nF",B47)-1))*1000,
 IF(ISNUMBER(SEARCH("uF",B47)), VALUE(LEFT(B47,SEARCH("uF",B47)-1))*1000000,"")))</f>
        <v>68</v>
      </c>
      <c r="D47" s="44"/>
      <c r="E47" s="44">
        <v>603</v>
      </c>
    </row>
    <row r="48" spans="1:5">
      <c r="A48" s="40" t="s">
        <v>462</v>
      </c>
      <c r="B48" s="40" t="s">
        <v>578</v>
      </c>
      <c r="C48" s="41">
        <f>IF(ISNUMBER(SEARCH("pF",B48)), VALUE(LEFT(B48,SEARCH("pF",B48)-1)),
 IF(ISNUMBER(SEARCH("nF",B48)), VALUE(LEFT(B48,SEARCH("nF",B48)-1))*1000,
 IF(ISNUMBER(SEARCH("µF",B48)), VALUE(LEFT(B48,SEARCH("µF",B48)-1))*1000000,"")))</f>
        <v>68</v>
      </c>
      <c r="D48" s="40"/>
      <c r="E48" s="42">
        <v>603</v>
      </c>
    </row>
    <row r="49" spans="1:5">
      <c r="A49" s="40"/>
      <c r="B49" s="40" t="s">
        <v>19</v>
      </c>
      <c r="C49" s="39">
        <f>IF(ISNUMBER(SEARCH("pF",B49)), VALUE(LEFT(B49,SEARCH("pF",B49)-1)),
 IF(ISNUMBER(SEARCH("nF",B49)), VALUE(LEFT(B49,SEARCH("nF",B49)-1))*1000,
 IF(ISNUMBER(SEARCH("uF",B49)), VALUE(LEFT(B49,SEARCH("uF",B49)-1))*1000000,"")))</f>
        <v>100</v>
      </c>
      <c r="D49" s="40"/>
    </row>
    <row r="50" spans="1:5">
      <c r="A50" s="40"/>
      <c r="B50" s="40" t="s">
        <v>347</v>
      </c>
      <c r="C50" s="39">
        <f>IF(ISNUMBER(SEARCH("pF",B50)), VALUE(LEFT(B50,SEARCH("pF",B50)-1)),
 IF(ISNUMBER(SEARCH("nF",B50)), VALUE(LEFT(B50,SEARCH("nF",B50)-1))*1000,
 IF(ISNUMBER(SEARCH("uF",B50)), VALUE(LEFT(B50,SEARCH("uF",B50)-1))*1000000,"")))</f>
        <v>100</v>
      </c>
      <c r="D50" s="40" t="s">
        <v>348</v>
      </c>
      <c r="E50" s="43" t="s">
        <v>186</v>
      </c>
    </row>
    <row r="51" spans="1:5">
      <c r="A51" s="40"/>
      <c r="B51" s="40" t="s">
        <v>357</v>
      </c>
      <c r="C51" s="39">
        <f>IF(ISNUMBER(SEARCH("pF",B51)), VALUE(LEFT(B51,SEARCH("pF",B51)-1)),
 IF(ISNUMBER(SEARCH("nF",B51)), VALUE(LEFT(B51,SEARCH("nF",B51)-1))*1000,
 IF(ISNUMBER(SEARCH("uF",B51)), VALUE(LEFT(B51,SEARCH("uF",B51)-1))*1000000,"")))</f>
        <v>100</v>
      </c>
      <c r="D51" s="40" t="s">
        <v>355</v>
      </c>
      <c r="E51" s="43" t="s">
        <v>186</v>
      </c>
    </row>
    <row r="52" spans="1:5">
      <c r="A52" s="42"/>
      <c r="B52" s="41" t="s">
        <v>456</v>
      </c>
      <c r="C52" s="41">
        <f>IF(ISNUMBER(SEARCH("pF",B52)), VALUE(LEFT(B52,SEARCH("pF",B52)-1)),
 IF(ISNUMBER(SEARCH("nF",B52)), VALUE(LEFT(B52,SEARCH("nF",B52)-1))*1000,
 IF(ISNUMBER(SEARCH("uF",B52)), VALUE(LEFT(B52,SEARCH("uF",B52)-1))*1000000,"")))</f>
        <v>100</v>
      </c>
      <c r="D52" s="41">
        <v>5</v>
      </c>
      <c r="E52" s="44" t="s">
        <v>187</v>
      </c>
    </row>
    <row r="53" spans="1:5">
      <c r="A53" s="40" t="s">
        <v>346</v>
      </c>
      <c r="B53" s="40" t="s">
        <v>19</v>
      </c>
      <c r="C53" s="41">
        <f t="shared" ref="C53:C61" si="3">IF(ISNUMBER(SEARCH("pF",B53)), VALUE(LEFT(B53,SEARCH("pF",B53)-1)),
 IF(ISNUMBER(SEARCH("nF",B53)), VALUE(LEFT(B53,SEARCH("nF",B53)-1))*1000,
 IF(ISNUMBER(SEARCH("µF",B53)), VALUE(LEFT(B53,SEARCH("µF",B53)-1))*1000000,"")))</f>
        <v>100</v>
      </c>
      <c r="D53" s="40"/>
      <c r="E53" s="42">
        <v>402</v>
      </c>
    </row>
    <row r="54" spans="1:5">
      <c r="A54" s="40" t="s">
        <v>356</v>
      </c>
      <c r="B54" s="41" t="s">
        <v>19</v>
      </c>
      <c r="C54" s="41">
        <f t="shared" si="3"/>
        <v>100</v>
      </c>
      <c r="D54" s="41"/>
      <c r="E54" s="44">
        <v>402</v>
      </c>
    </row>
    <row r="55" spans="1:5">
      <c r="A55" s="41" t="s">
        <v>455</v>
      </c>
      <c r="B55" s="40" t="s">
        <v>19</v>
      </c>
      <c r="C55" s="41">
        <f t="shared" si="3"/>
        <v>100</v>
      </c>
      <c r="D55" s="40"/>
      <c r="E55" s="42">
        <v>603</v>
      </c>
    </row>
    <row r="56" spans="1:5">
      <c r="A56" s="41" t="s">
        <v>386</v>
      </c>
      <c r="B56" s="40" t="s">
        <v>603</v>
      </c>
      <c r="C56" s="41">
        <f t="shared" si="3"/>
        <v>390</v>
      </c>
      <c r="D56" s="40"/>
      <c r="E56" s="43">
        <v>805</v>
      </c>
    </row>
    <row r="57" spans="1:5">
      <c r="A57" s="40" t="s">
        <v>474</v>
      </c>
      <c r="B57" s="40" t="s">
        <v>596</v>
      </c>
      <c r="C57" s="41">
        <f t="shared" si="3"/>
        <v>500</v>
      </c>
      <c r="D57" s="40"/>
      <c r="E57" s="42">
        <v>603</v>
      </c>
    </row>
    <row r="58" spans="1:5">
      <c r="A58" s="40" t="s">
        <v>375</v>
      </c>
      <c r="B58" s="40" t="s">
        <v>590</v>
      </c>
      <c r="C58" s="41">
        <f t="shared" si="3"/>
        <v>820</v>
      </c>
      <c r="D58" s="40"/>
      <c r="E58" s="42">
        <v>805</v>
      </c>
    </row>
    <row r="59" spans="1:5">
      <c r="A59" s="41" t="s">
        <v>482</v>
      </c>
      <c r="B59" s="40" t="s">
        <v>606</v>
      </c>
      <c r="C59" s="41">
        <f t="shared" si="3"/>
        <v>1000</v>
      </c>
      <c r="D59" s="40"/>
      <c r="E59" s="43">
        <v>402</v>
      </c>
    </row>
    <row r="60" spans="1:5">
      <c r="A60" s="41" t="s">
        <v>376</v>
      </c>
      <c r="B60" s="40" t="s">
        <v>608</v>
      </c>
      <c r="C60" s="41">
        <f t="shared" si="3"/>
        <v>3300</v>
      </c>
      <c r="D60" s="40"/>
      <c r="E60" s="43">
        <v>805</v>
      </c>
    </row>
    <row r="61" spans="1:5">
      <c r="A61" s="41" t="s">
        <v>475</v>
      </c>
      <c r="B61" s="40" t="s">
        <v>601</v>
      </c>
      <c r="C61" s="41">
        <f t="shared" si="3"/>
        <v>10000</v>
      </c>
      <c r="D61" s="40"/>
      <c r="E61" s="43">
        <v>603</v>
      </c>
    </row>
    <row r="62" spans="1:5">
      <c r="A62" s="40" t="s">
        <v>359</v>
      </c>
      <c r="B62" s="41" t="s">
        <v>576</v>
      </c>
      <c r="C62" s="41">
        <f>IF(ISNUMBER(SEARCH("pF",B62)), VALUE(LEFT(B62,SEARCH("pF",B62)-1)),
 IF(ISNUMBER(SEARCH("nF",B62)), VALUE(LEFT(B62,SEARCH("nF",B62)-1))*1000,
 IF(ISNUMBER(SEARCH("uF",B62)), VALUE(LEFT(B62,SEARCH("uF",B62)-1))*1000000,"")))</f>
        <v>100000</v>
      </c>
      <c r="D62" s="41"/>
      <c r="E62" s="44">
        <v>402</v>
      </c>
    </row>
    <row r="63" spans="1:5">
      <c r="A63" s="41" t="s">
        <v>466</v>
      </c>
      <c r="B63" s="40" t="s">
        <v>576</v>
      </c>
      <c r="C63" s="41">
        <f t="shared" ref="C63:C81" si="4">IF(ISNUMBER(SEARCH("pF",B63)), VALUE(LEFT(B63,SEARCH("pF",B63)-1)),
 IF(ISNUMBER(SEARCH("nF",B63)), VALUE(LEFT(B63,SEARCH("nF",B63)-1))*1000,
 IF(ISNUMBER(SEARCH("µF",B63)), VALUE(LEFT(B63,SEARCH("µF",B63)-1))*1000000,"")))</f>
        <v>100000</v>
      </c>
      <c r="D63" s="40"/>
      <c r="E63" s="43">
        <v>603</v>
      </c>
    </row>
    <row r="64" spans="1:5">
      <c r="A64" s="40" t="s">
        <v>387</v>
      </c>
      <c r="B64" s="41" t="s">
        <v>589</v>
      </c>
      <c r="C64" s="41">
        <f t="shared" si="4"/>
        <v>1000000</v>
      </c>
      <c r="D64" s="41"/>
      <c r="E64" s="44">
        <v>805</v>
      </c>
    </row>
    <row r="65" spans="1:5">
      <c r="A65" s="41" t="s">
        <v>460</v>
      </c>
      <c r="B65" s="40" t="s">
        <v>607</v>
      </c>
      <c r="C65" s="41">
        <f t="shared" si="4"/>
        <v>2200000</v>
      </c>
      <c r="D65" s="40"/>
      <c r="E65" s="39">
        <v>603</v>
      </c>
    </row>
    <row r="66" spans="1:5">
      <c r="A66" s="41" t="s">
        <v>461</v>
      </c>
      <c r="B66" s="40" t="s">
        <v>607</v>
      </c>
      <c r="C66" s="41">
        <f t="shared" si="4"/>
        <v>2200000</v>
      </c>
      <c r="D66" s="40"/>
      <c r="E66" s="43">
        <v>603</v>
      </c>
    </row>
    <row r="67" spans="1:5">
      <c r="A67" s="40" t="s">
        <v>459</v>
      </c>
      <c r="B67" s="41" t="s">
        <v>599</v>
      </c>
      <c r="C67" s="41">
        <f t="shared" si="4"/>
        <v>4700000</v>
      </c>
      <c r="D67" s="41"/>
      <c r="E67" s="44">
        <v>603</v>
      </c>
    </row>
    <row r="68" spans="1:5">
      <c r="A68" s="40" t="s">
        <v>358</v>
      </c>
      <c r="B68" s="40" t="s">
        <v>599</v>
      </c>
      <c r="C68" s="41">
        <f t="shared" si="4"/>
        <v>4700000</v>
      </c>
      <c r="D68" s="40"/>
      <c r="E68" s="42">
        <v>402</v>
      </c>
    </row>
    <row r="69" spans="1:5">
      <c r="A69" s="40" t="s">
        <v>591</v>
      </c>
      <c r="B69" s="40" t="s">
        <v>592</v>
      </c>
      <c r="C69" s="41">
        <f t="shared" si="4"/>
        <v>10000000</v>
      </c>
      <c r="D69" s="40"/>
      <c r="E69" s="42">
        <v>603</v>
      </c>
    </row>
    <row r="70" spans="1:5">
      <c r="A70" s="41" t="s">
        <v>415</v>
      </c>
      <c r="B70" s="40" t="s">
        <v>592</v>
      </c>
      <c r="C70" s="41">
        <f t="shared" si="4"/>
        <v>10000000</v>
      </c>
      <c r="D70" s="40"/>
      <c r="E70" s="43" t="s">
        <v>605</v>
      </c>
    </row>
    <row r="71" spans="1:5">
      <c r="A71" s="41" t="s">
        <v>369</v>
      </c>
      <c r="B71" s="40" t="s">
        <v>592</v>
      </c>
      <c r="C71" s="41">
        <f t="shared" si="4"/>
        <v>10000000</v>
      </c>
      <c r="D71" s="40"/>
      <c r="E71" s="43">
        <v>1206</v>
      </c>
    </row>
    <row r="72" spans="1:5">
      <c r="A72" s="40" t="s">
        <v>374</v>
      </c>
      <c r="B72" s="40" t="s">
        <v>593</v>
      </c>
      <c r="C72" s="41">
        <f t="shared" si="4"/>
        <v>15000000</v>
      </c>
      <c r="D72" s="40"/>
      <c r="E72" s="42">
        <v>805</v>
      </c>
    </row>
    <row r="73" spans="1:5">
      <c r="A73" s="40" t="s">
        <v>597</v>
      </c>
      <c r="B73" s="41" t="s">
        <v>598</v>
      </c>
      <c r="C73" s="41">
        <f t="shared" si="4"/>
        <v>22000000</v>
      </c>
      <c r="D73" s="41"/>
      <c r="E73" s="44">
        <v>1206</v>
      </c>
    </row>
    <row r="74" spans="1:5">
      <c r="A74" s="41" t="s">
        <v>368</v>
      </c>
      <c r="B74" s="40" t="s">
        <v>598</v>
      </c>
      <c r="C74" s="41">
        <f t="shared" si="4"/>
        <v>22000000</v>
      </c>
      <c r="D74" s="40"/>
      <c r="E74" s="42" t="s">
        <v>604</v>
      </c>
    </row>
    <row r="75" spans="1:5">
      <c r="A75" s="41" t="s">
        <v>371</v>
      </c>
      <c r="B75" s="40" t="s">
        <v>598</v>
      </c>
      <c r="C75" s="41">
        <f t="shared" si="4"/>
        <v>22000000</v>
      </c>
      <c r="D75" s="40"/>
      <c r="E75" s="43">
        <v>805</v>
      </c>
    </row>
    <row r="76" spans="1:5">
      <c r="A76" s="41" t="s">
        <v>364</v>
      </c>
      <c r="B76" s="40" t="s">
        <v>598</v>
      </c>
      <c r="C76" s="41">
        <f t="shared" si="4"/>
        <v>22000000</v>
      </c>
      <c r="D76" s="40"/>
      <c r="E76" s="43">
        <v>1210</v>
      </c>
    </row>
    <row r="77" spans="1:5">
      <c r="A77" s="41" t="s">
        <v>366</v>
      </c>
      <c r="B77" s="40" t="s">
        <v>598</v>
      </c>
      <c r="C77" s="41">
        <f t="shared" si="4"/>
        <v>22000000</v>
      </c>
      <c r="D77" s="40"/>
      <c r="E77" s="42">
        <v>1210</v>
      </c>
    </row>
    <row r="78" spans="1:5">
      <c r="A78" s="40" t="s">
        <v>363</v>
      </c>
      <c r="B78" s="40" t="s">
        <v>594</v>
      </c>
      <c r="C78" s="41">
        <f t="shared" si="4"/>
        <v>33000000</v>
      </c>
      <c r="D78" s="40"/>
      <c r="E78" s="43">
        <v>1206</v>
      </c>
    </row>
    <row r="79" spans="1:5">
      <c r="A79" s="40" t="s">
        <v>367</v>
      </c>
      <c r="B79" s="40" t="s">
        <v>595</v>
      </c>
      <c r="C79" s="41">
        <f t="shared" si="4"/>
        <v>47000000</v>
      </c>
      <c r="D79" s="40"/>
      <c r="E79" s="42">
        <v>1206</v>
      </c>
    </row>
    <row r="80" spans="1:5">
      <c r="A80" s="40" t="s">
        <v>390</v>
      </c>
      <c r="B80" s="40" t="s">
        <v>595</v>
      </c>
      <c r="C80" s="41">
        <f t="shared" si="4"/>
        <v>47000000</v>
      </c>
      <c r="D80" s="40"/>
      <c r="E80" s="43">
        <v>805</v>
      </c>
    </row>
    <row r="81" spans="1:5">
      <c r="A81" s="41" t="s">
        <v>365</v>
      </c>
      <c r="B81" s="40" t="s">
        <v>611</v>
      </c>
      <c r="C81" s="41">
        <f t="shared" si="4"/>
        <v>100000000</v>
      </c>
      <c r="D81" s="40"/>
      <c r="E81" s="42" t="s">
        <v>610</v>
      </c>
    </row>
    <row r="82" spans="1:5">
      <c r="A82" s="40" t="s">
        <v>210</v>
      </c>
      <c r="B82" s="41" t="s">
        <v>14</v>
      </c>
      <c r="C82" s="41">
        <f>IF(ISNUMBER(SEARCH("pF",B82)), VALUE(LEFT(B82,SEARCH("pF",B82)-1)),
 IF(ISNUMBER(SEARCH("nF",B82)), VALUE(LEFT(B82,SEARCH("nF",B82)-1))*1000,
 IF(ISNUMBER(SEARCH("uF",B82)), VALUE(LEFT(B82,SEARCH("uF",B82)-1))*1000000,"")))</f>
        <v>220000000</v>
      </c>
      <c r="D82" s="41" t="s">
        <v>355</v>
      </c>
      <c r="E82" s="44" t="s">
        <v>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9DCD-FCD7-43B7-9879-8C62D3BF238B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6564-447C-4AC0-9A0C-F03B4328A463}">
  <dimension ref="A1"/>
  <sheetViews>
    <sheetView workbookViewId="0"/>
  </sheetViews>
  <sheetFormatPr defaultRowHeight="13.8"/>
  <sheetData>
    <row r="1" spans="1:1">
      <c r="A1" t="s">
        <v>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4CFE-179B-4419-8073-6DED6B7B165A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CDA1-5AE1-46DD-8299-631E93011E4D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0B-1E42-4EBB-A787-8899DC26A882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E7D1-EBA3-4945-AE5D-FEFA9B445C82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23DA-F5E1-44EF-93B2-181B21C75C04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A0BB-099E-4F80-94D0-9142D069056A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39A7-7494-4D00-978E-2DEF8B8010CB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893C-FD5A-4DED-A009-611DA139B235}">
  <dimension ref="A1"/>
  <sheetViews>
    <sheetView workbookViewId="0"/>
  </sheetViews>
  <sheetFormatPr defaultRowHeight="13.8"/>
  <sheetData>
    <row r="1" spans="1:1">
      <c r="A1" t="s">
        <v>615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671F-5CD3-4DF8-AF33-1FF838B07D70}">
  <dimension ref="A1"/>
  <sheetViews>
    <sheetView topLeftCell="A2" workbookViewId="0">
      <selection activeCell="B43" sqref="B42:B43"/>
    </sheetView>
  </sheetViews>
  <sheetFormatPr defaultRowHeight="13.8"/>
  <sheetData>
    <row r="1" spans="1:1">
      <c r="A1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Resistor</vt:lpstr>
      <vt:lpstr>Capacitor</vt:lpstr>
      <vt:lpstr>Inductor</vt:lpstr>
      <vt:lpstr>Filter</vt:lpstr>
      <vt:lpstr>VCO</vt:lpstr>
      <vt:lpstr>Mixer</vt:lpstr>
      <vt:lpstr>Amplifier</vt:lpstr>
      <vt:lpstr>Regulator</vt:lpstr>
      <vt:lpstr>Connector</vt:lpstr>
      <vt:lpstr>Multiplier</vt:lpstr>
      <vt:lpstr>Switch</vt:lpstr>
      <vt:lpstr>Attenuator</vt:lpstr>
      <vt:lpstr>Other</vt:lpstr>
      <vt:lpstr>_0201</vt:lpstr>
      <vt:lpstr>Resistor!daass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Xinhang Xu</cp:lastModifiedBy>
  <dcterms:created xsi:type="dcterms:W3CDTF">2025-11-14T18:05:50Z</dcterms:created>
  <dcterms:modified xsi:type="dcterms:W3CDTF">2025-12-29T21:31:33Z</dcterms:modified>
</cp:coreProperties>
</file>