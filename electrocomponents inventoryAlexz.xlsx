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0\OneDrive\Documents\fusion data\"/>
    </mc:Choice>
  </mc:AlternateContent>
  <xr:revisionPtr revIDLastSave="0" documentId="13_ncr:1_{6B381CE4-005D-4F42-84AA-D5921386FC56}" xr6:coauthVersionLast="47" xr6:coauthVersionMax="47" xr10:uidLastSave="{00000000-0000-0000-0000-000000000000}"/>
  <bookViews>
    <workbookView xWindow="-98" yWindow="-98" windowWidth="17115" windowHeight="10755" xr2:uid="{4EF1B334-B9A4-468B-ADB9-1CC422E31F4C}"/>
  </bookViews>
  <sheets>
    <sheet name="Sheet1" sheetId="1" r:id="rId1"/>
  </sheets>
  <definedNames>
    <definedName name="_0201">Sheet1!$K$3</definedName>
    <definedName name="_xlnm._FilterDatabase" localSheetId="0" hidden="1">Sheet1!$A$3:$E$85</definedName>
    <definedName name="daass" comment="sdas" localSheetId="0">Sheet1!$K$3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C104" i="1"/>
  <c r="C105" i="1"/>
  <c r="C106" i="1"/>
  <c r="C107" i="1"/>
  <c r="C108" i="1"/>
  <c r="H106" i="1"/>
  <c r="C102" i="1"/>
  <c r="H105" i="1"/>
  <c r="H104" i="1"/>
  <c r="H103" i="1"/>
  <c r="H102" i="1"/>
  <c r="H101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C101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6" i="1"/>
  <c r="C19" i="1"/>
  <c r="C45" i="1"/>
  <c r="C27" i="1"/>
  <c r="C20" i="1"/>
  <c r="C26" i="1"/>
  <c r="C8" i="1"/>
  <c r="C7" i="1"/>
  <c r="C24" i="1"/>
  <c r="C78" i="1"/>
  <c r="C83" i="1"/>
  <c r="C80" i="1"/>
  <c r="C63" i="1"/>
  <c r="C5" i="1"/>
  <c r="C23" i="1"/>
  <c r="C30" i="1"/>
  <c r="C34" i="1"/>
  <c r="C28" i="1"/>
  <c r="C10" i="1"/>
  <c r="C14" i="1"/>
  <c r="C18" i="1"/>
  <c r="C74" i="1" l="1"/>
  <c r="C76" i="1"/>
  <c r="C69" i="1"/>
  <c r="C60" i="1"/>
  <c r="C44" i="1"/>
  <c r="C53" i="1"/>
  <c r="C52" i="1"/>
  <c r="C65" i="1"/>
  <c r="C57" i="1"/>
  <c r="C49" i="1"/>
  <c r="C64" i="1"/>
  <c r="C62" i="1"/>
  <c r="C59" i="1"/>
  <c r="C67" i="1"/>
  <c r="C29" i="1"/>
  <c r="C16" i="1"/>
  <c r="C79" i="1"/>
  <c r="C77" i="1"/>
  <c r="C75" i="1"/>
  <c r="C55" i="1"/>
  <c r="C31" i="1"/>
  <c r="C25" i="1"/>
  <c r="C68" i="1"/>
  <c r="C33" i="1"/>
  <c r="C35" i="1"/>
  <c r="C17" i="1"/>
  <c r="C85" i="1" l="1"/>
  <c r="C84" i="1"/>
  <c r="C81" i="1"/>
  <c r="C4" i="1"/>
  <c r="H3" i="1"/>
  <c r="H14" i="1" l="1"/>
  <c r="C40" i="1"/>
  <c r="C41" i="1"/>
  <c r="C42" i="1"/>
  <c r="C39" i="1"/>
  <c r="C38" i="1"/>
  <c r="C37" i="1"/>
  <c r="C36" i="1"/>
  <c r="C32" i="1"/>
  <c r="C22" i="1"/>
  <c r="C21" i="1"/>
  <c r="C15" i="1"/>
  <c r="C13" i="1"/>
  <c r="C12" i="1"/>
  <c r="C11" i="1"/>
  <c r="C9" i="1"/>
  <c r="C3" i="1"/>
  <c r="C54" i="1"/>
  <c r="C51" i="1"/>
  <c r="C50" i="1"/>
  <c r="C48" i="1"/>
  <c r="C46" i="1"/>
  <c r="C47" i="1"/>
  <c r="C43" i="1"/>
  <c r="C82" i="1"/>
  <c r="C73" i="1"/>
  <c r="C72" i="1"/>
  <c r="C71" i="1"/>
  <c r="C70" i="1"/>
  <c r="C66" i="1"/>
  <c r="C61" i="1"/>
  <c r="C58" i="1"/>
  <c r="C56" i="1"/>
  <c r="H28" i="1"/>
  <c r="H24" i="1"/>
  <c r="H19" i="1"/>
  <c r="H17" i="1"/>
  <c r="H31" i="1"/>
  <c r="H35" i="1"/>
  <c r="H34" i="1"/>
  <c r="H32" i="1"/>
  <c r="H13" i="1"/>
  <c r="H8" i="1"/>
  <c r="H9" i="1"/>
  <c r="H6" i="1"/>
  <c r="H5" i="1"/>
  <c r="H7" i="1"/>
  <c r="H11" i="1"/>
  <c r="H22" i="1"/>
  <c r="H15" i="1"/>
  <c r="H30" i="1"/>
  <c r="H10" i="1"/>
  <c r="H12" i="1"/>
  <c r="H18" i="1"/>
  <c r="H25" i="1"/>
  <c r="H23" i="1"/>
  <c r="H29" i="1"/>
  <c r="H4" i="1"/>
  <c r="H26" i="1"/>
  <c r="H20" i="1"/>
  <c r="H16" i="1"/>
  <c r="H33" i="1"/>
  <c r="H27" i="1"/>
  <c r="H21" i="1"/>
</calcChain>
</file>

<file path=xl/sharedStrings.xml><?xml version="1.0" encoding="utf-8"?>
<sst xmlns="http://schemas.openxmlformats.org/spreadsheetml/2006/main" count="611" uniqueCount="440">
  <si>
    <t>capacitors</t>
  </si>
  <si>
    <t>amps</t>
  </si>
  <si>
    <t>connectors</t>
  </si>
  <si>
    <t>misc</t>
  </si>
  <si>
    <t>10 uF</t>
  </si>
  <si>
    <t>RF LVA-123+</t>
  </si>
  <si>
    <t>WR-FPC</t>
  </si>
  <si>
    <t>SMA</t>
  </si>
  <si>
    <t>BNC</t>
  </si>
  <si>
    <t>RF-Reciever Board</t>
  </si>
  <si>
    <t>Hi-temp epoxy</t>
  </si>
  <si>
    <t>digital mini scale 001g</t>
  </si>
  <si>
    <t>Cables</t>
  </si>
  <si>
    <t>0.5mm FFC</t>
  </si>
  <si>
    <t>binder clip</t>
  </si>
  <si>
    <t>220 uF</t>
  </si>
  <si>
    <t>470 uF</t>
  </si>
  <si>
    <t>330 uF</t>
  </si>
  <si>
    <t>BLK</t>
  </si>
  <si>
    <t>type c</t>
  </si>
  <si>
    <t>DC boards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</si>
  <si>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</si>
  <si>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</si>
  <si>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</si>
  <si>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</si>
  <si>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</si>
  <si>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</si>
  <si>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</si>
  <si>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</si>
  <si>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</si>
  <si>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</si>
  <si>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</si>
  <si>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</si>
  <si>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</si>
  <si>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</si>
  <si>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</si>
  <si>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</si>
  <si>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</si>
  <si>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</si>
  <si>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</si>
  <si>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</si>
  <si>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</si>
  <si>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</si>
  <si>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</si>
  <si>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other Chips</t>
  </si>
  <si>
    <t>Freq Mixer</t>
  </si>
  <si>
    <t>SIM -14+</t>
  </si>
  <si>
    <t>SIM-123+</t>
  </si>
  <si>
    <t>SIM-73L+</t>
  </si>
  <si>
    <t>SIM-83+</t>
  </si>
  <si>
    <t>SIM-83LH+</t>
  </si>
  <si>
    <t>SIM-14+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</si>
  <si>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</si>
  <si>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</si>
  <si>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</si>
  <si>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</si>
  <si>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</si>
  <si>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</si>
  <si>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</si>
  <si>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</si>
  <si>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OPA360,SC70-6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</si>
  <si>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</si>
  <si>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</si>
  <si>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</si>
  <si>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</si>
  <si>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</si>
  <si>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</si>
  <si>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</si>
  <si>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</si>
  <si>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</si>
  <si>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</si>
  <si>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</si>
  <si>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LVA-123+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</si>
  <si>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</si>
  <si>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</si>
  <si>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</si>
  <si>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</si>
  <si>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</si>
  <si>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</si>
  <si>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</si>
  <si>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</si>
  <si>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</si>
  <si>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</si>
  <si>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inductance</t>
  </si>
  <si>
    <t>multiplier</t>
  </si>
  <si>
    <t>HMC1167LP5E</t>
  </si>
  <si>
    <t>TGC4406-SM</t>
  </si>
  <si>
    <t>TPS73501QDRBRQ1</t>
  </si>
  <si>
    <t>0.1 uf</t>
  </si>
  <si>
    <t>TGA 4705-FC</t>
  </si>
  <si>
    <t>HMC773LC3B</t>
  </si>
  <si>
    <t>77GHz ,Triquint,LNA</t>
  </si>
  <si>
    <t>VGA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</si>
  <si>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</si>
  <si>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</si>
  <si>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</si>
  <si>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</si>
  <si>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</si>
  <si>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LP3985IM5-3.2/NOPB, 3.2V,0.15A</t>
  </si>
  <si>
    <t>L78L05ACUTR, 5V,1A</t>
  </si>
  <si>
    <t>L78L33ACUTR, 3.3V,1A</t>
  </si>
  <si>
    <t xml:space="preserve">TPS71730DCKR, 3.0V,150 mA </t>
  </si>
  <si>
    <t>BA78M07FP-E2, 7v, 500mA</t>
  </si>
  <si>
    <t>L78L06ABUTR, 6.0V, 0.1A</t>
  </si>
  <si>
    <t>AP1117Y50G-13, 5V,1A, SOT89-3</t>
  </si>
  <si>
    <t>MCP1804T-30021/MB,3V ,0.15A</t>
  </si>
  <si>
    <t>LT3015EQ-5#PBF, -5V 1.5A</t>
  </si>
  <si>
    <t xml:space="preserve">MIC5209-4.2YS,4.2V, 500mA </t>
  </si>
  <si>
    <t>AN79LO5M-ND,5V,100mA</t>
  </si>
  <si>
    <t>AN78L09M,9V,0.1A</t>
  </si>
  <si>
    <t>LM2940SX-8.0/NOPB, 8V0.1A</t>
  </si>
  <si>
    <t>L79L05ACUTR,-5V,0.1A</t>
  </si>
  <si>
    <t xml:space="preserve">LM2937IMP-12/NOPB,12V,400 mA </t>
  </si>
  <si>
    <t>BD80C0AFPS-E2, LD0,8V,0.1A</t>
  </si>
  <si>
    <t>REG101UA-3,3V 8-SOIC</t>
  </si>
  <si>
    <t xml:space="preserve">TPS79030DBVR,3V50mA </t>
  </si>
  <si>
    <t>L78L06ACUTR,6V,0.1A</t>
  </si>
  <si>
    <t xml:space="preserve">AN8006M,6V,50 mA </t>
  </si>
  <si>
    <t>tps71712dckr,1.2v,0.15A</t>
  </si>
  <si>
    <t>LTC1983ES6-5#TRMPBF,-5V</t>
  </si>
  <si>
    <t xml:space="preserve">REG101NA-2.5/250,2.5V,10mA </t>
  </si>
  <si>
    <t xml:space="preserve">AN8005M-ND,5V,50 mA </t>
  </si>
  <si>
    <t>REG104FA-5KTTT,5V,1A</t>
  </si>
  <si>
    <t>TPS79630KTTT,3.0V,1A</t>
  </si>
  <si>
    <t>L4931ABD50-TR,5V</t>
  </si>
  <si>
    <t>MC78L05ACDG,5V,0.1A</t>
  </si>
  <si>
    <t>AN7708SP,8V,1.2A</t>
  </si>
  <si>
    <t>LM2940S-8.0/NOPB,8V1A</t>
  </si>
  <si>
    <t>LT1761ES5-2.5#TRMPBF,2.5V,100mA</t>
  </si>
  <si>
    <t>TPS7172DCKR,1.2V,0.15A</t>
  </si>
  <si>
    <t>US78M05CDCYR,POS,SOT-223</t>
  </si>
  <si>
    <t>NJM78L05A,5V</t>
  </si>
  <si>
    <t>UA78L05ACD,5V,0.1A</t>
  </si>
  <si>
    <t>L78L0ACUTR,8V,0.1A</t>
  </si>
  <si>
    <t>TPS71713DCKR,1.3V,150mA</t>
  </si>
  <si>
    <t>TPS71715DCKR,1.5V,0.15A</t>
  </si>
  <si>
    <t>L4931ABD35-TR,3.5V,0.25A</t>
  </si>
  <si>
    <t xml:space="preserve">LT1761ES5-3.3#TRMPBF,3.3V,100mA </t>
  </si>
  <si>
    <t>AN79L09M-ND,9V,100mA</t>
  </si>
  <si>
    <t>L4931ABD33-TR,3.3V</t>
  </si>
  <si>
    <t>NJM78L05UA,5V</t>
  </si>
  <si>
    <t>L78M05ABDT-TR,5V,0.5A</t>
  </si>
  <si>
    <t>UA78M05CDCYR</t>
  </si>
  <si>
    <t>PDM2-S24-D5-S,5V,200mA</t>
  </si>
  <si>
    <t>LM2940IMP-15CT-ND</t>
  </si>
  <si>
    <t xml:space="preserve">L4931ABD50-TR,5V,250mA </t>
  </si>
  <si>
    <t>TPS71710DRVR,1.0V,150mA</t>
  </si>
  <si>
    <t>L4931ABD120TR,12V</t>
  </si>
  <si>
    <t>MCP1827T-5002E/ET,5V,1.5A</t>
  </si>
  <si>
    <t>S24SE05006PDFA</t>
  </si>
  <si>
    <t>VFSD1-S12-S12-SIP,12V</t>
  </si>
  <si>
    <t>MCP1804T-3002IMB,150mA,28V</t>
  </si>
  <si>
    <t>L7806ABD2T-TR,6V,1A</t>
  </si>
  <si>
    <t>UA78M08CDCYR,POS 500mA</t>
  </si>
  <si>
    <t>vco</t>
  </si>
  <si>
    <t>HMC506LP4</t>
  </si>
  <si>
    <t>HMC430LP4E,VCO 5.0-5.5GHZ</t>
  </si>
  <si>
    <t>HMC466LP4E,VCO 6.1-6.72GHZ</t>
  </si>
  <si>
    <t>HMC505LP4E,6.8-7.4GHZ</t>
  </si>
  <si>
    <t>HMC390LP4E,3.55-3.90GHZ</t>
  </si>
  <si>
    <t>HMC429LP4E,4.45-5.0GHZ</t>
  </si>
  <si>
    <t>HMC735LP5E,10.5-12.2GHZ</t>
  </si>
  <si>
    <t>ECS-8FMX-122.8-TR,12.288MHZ,5.0V</t>
  </si>
  <si>
    <t>HMC431LP4E</t>
  </si>
  <si>
    <t>HMC435MS8GE</t>
  </si>
  <si>
    <t>435MS8GE</t>
  </si>
  <si>
    <t>HMC736LP4E,14.5-15.0GHZ</t>
  </si>
  <si>
    <t>HMC416LP4</t>
  </si>
  <si>
    <t>HMC584LP5E</t>
  </si>
  <si>
    <t>HMC389LP4E</t>
  </si>
  <si>
    <t>HMC430LP4E</t>
  </si>
  <si>
    <t>HMC583LP5E</t>
  </si>
  <si>
    <t>HMC385LP4E</t>
  </si>
  <si>
    <t>CVCO55CC-0971-0975</t>
  </si>
  <si>
    <t>SG-531P 22.1184MHZ</t>
  </si>
  <si>
    <t>SG-3030JC 32.7680KB3:ROHS</t>
  </si>
  <si>
    <t>ECS-8FMX-245.7-TR,24.576MHZ</t>
  </si>
  <si>
    <t>HMC736LP4E</t>
  </si>
  <si>
    <t>HMC506LP4E,7.8-8.7GHZ</t>
  </si>
  <si>
    <t>ECS-8FMX-491.5-TR,49.152 MHZ</t>
  </si>
  <si>
    <t>ECS-2200B-098,9.8304MHZ</t>
  </si>
  <si>
    <t>CSX750ACB125.000MTR,125 MHZ</t>
  </si>
  <si>
    <t>ECS-2100A-120,12MHZ</t>
  </si>
  <si>
    <t>CSX750ACB133.330MTR,133 MHZ</t>
  </si>
  <si>
    <t>ECS-8FM-010-TR,1MHZ</t>
  </si>
  <si>
    <t>CSX750FCC44.00000M-UT,44MHZ</t>
  </si>
  <si>
    <t>ECS-8FMX,49.152MHZ</t>
  </si>
  <si>
    <t>ECS-8FM,1MHZ</t>
  </si>
  <si>
    <t>Part num</t>
  </si>
  <si>
    <t>value (Ohm)</t>
  </si>
  <si>
    <t>footsize(imperial unit)</t>
  </si>
  <si>
    <t>max voltage</t>
  </si>
  <si>
    <t>3.32k</t>
  </si>
  <si>
    <t>0402</t>
  </si>
  <si>
    <t>0603</t>
  </si>
  <si>
    <t>1.05k</t>
  </si>
  <si>
    <t xml:space="preserve"> 0402</t>
  </si>
  <si>
    <t>18k</t>
  </si>
  <si>
    <t>8.06k</t>
  </si>
  <si>
    <t>47k</t>
  </si>
  <si>
    <t>38.3k</t>
  </si>
  <si>
    <t>82k</t>
  </si>
  <si>
    <t xml:space="preserve"> 0603</t>
  </si>
  <si>
    <t>1206</t>
  </si>
  <si>
    <t xml:space="preserve"> 1206</t>
  </si>
  <si>
    <t>value</t>
  </si>
  <si>
    <t xml:space="preserve">1000 pF </t>
  </si>
  <si>
    <t>0201</t>
  </si>
  <si>
    <t xml:space="preserve">1 pF </t>
  </si>
  <si>
    <t xml:space="preserve">10 uF </t>
  </si>
  <si>
    <t xml:space="preserve">1 uF </t>
  </si>
  <si>
    <t xml:space="preserve">2.2 uF </t>
  </si>
  <si>
    <t xml:space="preserve">0.1 uF </t>
  </si>
  <si>
    <t xml:space="preserve">10000 pF </t>
  </si>
  <si>
    <t xml:space="preserve">220 uF </t>
  </si>
  <si>
    <t>2824</t>
  </si>
  <si>
    <t xml:space="preserve">11 pf </t>
  </si>
  <si>
    <t xml:space="preserve">13 pf </t>
  </si>
  <si>
    <t xml:space="preserve">8.2 pf </t>
  </si>
  <si>
    <t xml:space="preserve">2.2 pf </t>
  </si>
  <si>
    <t>0805</t>
  </si>
  <si>
    <t xml:space="preserve">10 pf </t>
  </si>
  <si>
    <t xml:space="preserve">22pf </t>
  </si>
  <si>
    <t xml:space="preserve">1 uf </t>
  </si>
  <si>
    <t xml:space="preserve">1000 pf </t>
  </si>
  <si>
    <t>2312</t>
  </si>
  <si>
    <t xml:space="preserve">16 uf </t>
  </si>
  <si>
    <t xml:space="preserve">20 pf </t>
  </si>
  <si>
    <t>1608</t>
  </si>
  <si>
    <t xml:space="preserve">10000pf </t>
  </si>
  <si>
    <t xml:space="preserve">2.2 uf </t>
  </si>
  <si>
    <t>T495E227KO16ATE100</t>
  </si>
  <si>
    <t>220uf</t>
  </si>
  <si>
    <t>16V</t>
  </si>
  <si>
    <t>634k</t>
  </si>
  <si>
    <t>250k</t>
  </si>
  <si>
    <t>200k</t>
  </si>
  <si>
    <t>191k</t>
  </si>
  <si>
    <t>60.4k</t>
  </si>
  <si>
    <t>30k</t>
  </si>
  <si>
    <t>16.9k</t>
  </si>
  <si>
    <t>12k</t>
  </si>
  <si>
    <t>6.65k</t>
  </si>
  <si>
    <t>5k</t>
  </si>
  <si>
    <t>3.92k</t>
  </si>
  <si>
    <t>1.5k</t>
  </si>
  <si>
    <t>1.3k</t>
  </si>
  <si>
    <t>1.2k</t>
  </si>
  <si>
    <t>1k</t>
  </si>
  <si>
    <t>numerical</t>
  </si>
  <si>
    <t xml:space="preserve">value </t>
  </si>
  <si>
    <t>68 nh</t>
  </si>
  <si>
    <t xml:space="preserve">82 nh </t>
  </si>
  <si>
    <t>Name</t>
  </si>
  <si>
    <t xml:space="preserve">numerical(pf) </t>
  </si>
  <si>
    <t>MFG:747250-4</t>
  </si>
  <si>
    <t>ZONE:ZONE9</t>
  </si>
  <si>
    <t>WM3862-ND</t>
  </si>
  <si>
    <t>Conn Header 20POS</t>
  </si>
  <si>
    <t>WM7961CT-ND</t>
  </si>
  <si>
    <t>CONN FPC BOTTOM 14POS</t>
  </si>
  <si>
    <t>S7085-ND</t>
  </si>
  <si>
    <t>CONN Header FMAL 34PS</t>
  </si>
  <si>
    <t>S7111-ND</t>
  </si>
  <si>
    <t>CONN HEADER FMAL 16PS</t>
  </si>
  <si>
    <t>H10537-ND</t>
  </si>
  <si>
    <t>CONN RECEPT STR 120PS 1.27MM</t>
  </si>
  <si>
    <t>1939-1900-ND</t>
  </si>
  <si>
    <t>MOLEX HOUSING 3.96mm pitch</t>
  </si>
  <si>
    <t>DIN-Signal</t>
  </si>
  <si>
    <t>09031786901</t>
  </si>
  <si>
    <t>651-1751329</t>
  </si>
  <si>
    <t>10P 3.5mm 90DEG</t>
  </si>
  <si>
    <t>Automated label classification</t>
  </si>
  <si>
    <t>etc</t>
  </si>
  <si>
    <t xml:space="preserve">   </t>
  </si>
  <si>
    <t>CRCW060356R0FKEA</t>
  </si>
  <si>
    <t>CRCW0603453RFKEA</t>
  </si>
  <si>
    <t>RC0603FR-07402RL</t>
  </si>
  <si>
    <t>CR0603-JW-303ELF</t>
  </si>
  <si>
    <t>30K</t>
  </si>
  <si>
    <t>RC0603FR-07240RL</t>
  </si>
  <si>
    <t>RMCF0603FT40R2</t>
  </si>
  <si>
    <t>CR0603-FX-1503ELF</t>
  </si>
  <si>
    <t>150K</t>
  </si>
  <si>
    <t>RMCF0603FT120K</t>
  </si>
  <si>
    <t>120K</t>
  </si>
  <si>
    <t>RC0603FR-07102KL</t>
  </si>
  <si>
    <t>102K</t>
  </si>
  <si>
    <t>CRCW0805-8871FRT1</t>
  </si>
  <si>
    <t>8.87K</t>
  </si>
  <si>
    <t>RC0603FR-07287RL</t>
  </si>
  <si>
    <t>RC0603FR-07133RL</t>
  </si>
  <si>
    <t>CR0603-FX-3002ELF</t>
  </si>
  <si>
    <t>CR0603-FX-1742ELF</t>
  </si>
  <si>
    <t>17.4K</t>
  </si>
  <si>
    <t>CR0603-FX-2002ELF</t>
  </si>
  <si>
    <t>20K</t>
  </si>
  <si>
    <t>RC0603FR-0727KL</t>
  </si>
  <si>
    <t>27K</t>
  </si>
  <si>
    <t>RC0603FR-074K75L</t>
  </si>
  <si>
    <t>4.75K</t>
  </si>
  <si>
    <t>CR0603-FX-1212ELF</t>
  </si>
  <si>
    <t>12.1K</t>
  </si>
  <si>
    <t>RMCF0603FT28K0</t>
  </si>
  <si>
    <t>28K</t>
  </si>
  <si>
    <t>RMCF00603FT7K15</t>
  </si>
  <si>
    <t>7.15K</t>
  </si>
  <si>
    <t>CR0603-FX-715ELF</t>
  </si>
  <si>
    <t>RC0603FR-072KL</t>
  </si>
  <si>
    <t>2K</t>
  </si>
  <si>
    <t>CRCW060317K4FKEA</t>
  </si>
  <si>
    <t>RMCF0603JT30K0</t>
  </si>
  <si>
    <t>CR0603-FX-1023ELF</t>
  </si>
  <si>
    <t>ESR10EZPF88R7</t>
  </si>
  <si>
    <t>88.7K</t>
  </si>
  <si>
    <t>RC0603FR-0775RL</t>
    <phoneticPr fontId="0" type="noConversion"/>
  </si>
  <si>
    <t>0603</t>
    <phoneticPr fontId="0" type="noConversion"/>
  </si>
  <si>
    <t>RC0603FR-0724R9L</t>
    <phoneticPr fontId="0" type="noConversion"/>
  </si>
  <si>
    <t>RC0603FR-0713RL</t>
    <phoneticPr fontId="0" type="noConversion"/>
  </si>
  <si>
    <t>CR0603-FX-2200ELF</t>
    <phoneticPr fontId="0" type="noConversion"/>
  </si>
  <si>
    <t>RMCF0603FG402R</t>
    <phoneticPr fontId="0" type="noConversion"/>
  </si>
  <si>
    <t>RMCF1206FT249R</t>
    <phoneticPr fontId="0" type="noConversion"/>
  </si>
  <si>
    <t>RC0603FR-07100RL</t>
    <phoneticPr fontId="0" type="noConversion"/>
  </si>
  <si>
    <t>ERJ-3GEY0R00V</t>
    <phoneticPr fontId="0" type="noConversion"/>
  </si>
  <si>
    <t>RC0402FR-0720KL</t>
    <phoneticPr fontId="0" type="noConversion"/>
  </si>
  <si>
    <t>20k</t>
    <phoneticPr fontId="0" type="noConversion"/>
  </si>
  <si>
    <t>0402</t>
    <phoneticPr fontId="0" type="noConversion"/>
  </si>
  <si>
    <t>CR0603-FX-1803ELF</t>
    <phoneticPr fontId="0" type="noConversion"/>
  </si>
  <si>
    <t>180k</t>
    <phoneticPr fontId="0" type="noConversion"/>
  </si>
  <si>
    <t>CR0603-FX-2493ELF</t>
    <phoneticPr fontId="0" type="noConversion"/>
  </si>
  <si>
    <t>249k</t>
    <phoneticPr fontId="0" type="noConversion"/>
  </si>
  <si>
    <t>CR0603-FX-1403ELF</t>
    <phoneticPr fontId="0" type="noConversion"/>
  </si>
  <si>
    <t>140k</t>
    <phoneticPr fontId="0" type="noConversion"/>
  </si>
  <si>
    <t>CRCW0805100RFKEA</t>
    <phoneticPr fontId="0" type="noConversion"/>
  </si>
  <si>
    <t>0805</t>
    <phoneticPr fontId="0" type="noConversion"/>
  </si>
  <si>
    <t>RK73H2ATTD4R12F</t>
    <phoneticPr fontId="0" type="noConversion"/>
  </si>
  <si>
    <t>RK73H2ATTD4R99F</t>
    <phoneticPr fontId="0" type="noConversion"/>
  </si>
  <si>
    <t>RC1206FR-07215RL</t>
    <phoneticPr fontId="0" type="noConversion"/>
  </si>
  <si>
    <t>ESR10EZPF88R7</t>
    <phoneticPr fontId="0" type="noConversion"/>
  </si>
  <si>
    <t>RC0603FR-07215RL</t>
    <phoneticPr fontId="0" type="noConversion"/>
  </si>
  <si>
    <t>CRCW0805-2211FRT1</t>
    <phoneticPr fontId="0" type="noConversion"/>
  </si>
  <si>
    <t>2.21k</t>
    <phoneticPr fontId="0" type="noConversion"/>
  </si>
  <si>
    <t>RMCF1206FT82R0</t>
    <phoneticPr fontId="0" type="noConversion"/>
  </si>
  <si>
    <t>RK73Z2ELTD</t>
    <phoneticPr fontId="0" type="noConversion"/>
  </si>
  <si>
    <t>1210</t>
  </si>
  <si>
    <t>RC0603JR-070RL</t>
  </si>
  <si>
    <t>RC0603JR-0791RL</t>
  </si>
  <si>
    <t>RC1206FR-07165RL</t>
  </si>
  <si>
    <t>CR2512-J/-000ELF</t>
  </si>
  <si>
    <t>CR0603-FX-1621ELF</t>
  </si>
  <si>
    <t>MCT06030C1004FP500</t>
  </si>
  <si>
    <t>1M</t>
  </si>
  <si>
    <t>RR0510P-2870-D</t>
  </si>
  <si>
    <t>CRCW080543R2FKEA</t>
  </si>
  <si>
    <t>ERJ-6RQF3R9V</t>
  </si>
  <si>
    <t>MCR03ERTTF4122</t>
  </si>
  <si>
    <t>MCR18EZHF2430</t>
  </si>
  <si>
    <t>ERJ-8ENF47ROV</t>
  </si>
  <si>
    <t>RMCF0603FT62K0</t>
  </si>
  <si>
    <t>1.62k</t>
  </si>
  <si>
    <t>41.2k</t>
  </si>
  <si>
    <t>62k</t>
  </si>
  <si>
    <t>RC1206FR-07470RL</t>
  </si>
  <si>
    <t>ERJ-2RKF2871X</t>
  </si>
  <si>
    <t>2.87k</t>
  </si>
  <si>
    <t>ERJ-2RKF4991X</t>
  </si>
  <si>
    <t>4.99k</t>
  </si>
  <si>
    <t>ECJ-1VC1H101J</t>
  </si>
  <si>
    <t>100pf</t>
  </si>
  <si>
    <t>251R14S4R7BV4T</t>
  </si>
  <si>
    <t>4.7pf</t>
  </si>
  <si>
    <t>CL10A475KP8NNNC</t>
  </si>
  <si>
    <t>4.7uF</t>
  </si>
  <si>
    <t>GRM188R60J225KE19D</t>
  </si>
  <si>
    <t>2.2uF</t>
  </si>
  <si>
    <t>LMK107BJ225KA-T</t>
  </si>
  <si>
    <t>CC0603JRNP09BN680</t>
  </si>
  <si>
    <t>68pF</t>
  </si>
  <si>
    <t>251R14S6R8CV4T</t>
  </si>
  <si>
    <t>6.8pF</t>
  </si>
  <si>
    <t>GRM188R71H104KA93D</t>
  </si>
  <si>
    <t>0.1uF</t>
  </si>
  <si>
    <t>C0603C560J5GACTU</t>
  </si>
  <si>
    <t>56pF</t>
  </si>
  <si>
    <t>C0603C569D5GACTM</t>
  </si>
  <si>
    <t>5.6pF</t>
  </si>
  <si>
    <t>0603N470F500CT</t>
  </si>
  <si>
    <t>47pF</t>
  </si>
  <si>
    <t>0603N680F500CT</t>
  </si>
  <si>
    <t>CC0603KRX7R9BB501</t>
  </si>
  <si>
    <t>500pF</t>
  </si>
  <si>
    <t>C16088X5ROJ106K080AB</t>
  </si>
  <si>
    <t>10uF</t>
  </si>
  <si>
    <t>ECJ-1VB1E103K</t>
  </si>
  <si>
    <t>100pF</t>
  </si>
  <si>
    <t>251R14S0R3BV4T</t>
  </si>
  <si>
    <t>0.3pF</t>
  </si>
  <si>
    <t>251R14S0R9BV4T</t>
  </si>
  <si>
    <t>0.9pF</t>
  </si>
  <si>
    <t>251R14SOR2AV4T</t>
  </si>
  <si>
    <t>0.2pF</t>
  </si>
  <si>
    <t>251R14S5R6CV4T</t>
  </si>
  <si>
    <t>FUSES</t>
  </si>
  <si>
    <t>MF--NSMF035-2</t>
  </si>
  <si>
    <t>0.35A</t>
  </si>
  <si>
    <t>MCR18EZPF1001</t>
  </si>
  <si>
    <t>GRM155R71H102KA01D</t>
  </si>
  <si>
    <t>1000pF</t>
  </si>
  <si>
    <t>ERJ-3EKF10R0V</t>
  </si>
  <si>
    <t>RC1206FR-0760R4L</t>
  </si>
  <si>
    <t>MCR03ERTF2001</t>
  </si>
  <si>
    <t>2k</t>
  </si>
  <si>
    <t>C1Q 500</t>
  </si>
  <si>
    <t>500mA</t>
  </si>
  <si>
    <t>125V</t>
  </si>
  <si>
    <t>MF-NSMF075-2</t>
  </si>
  <si>
    <t>750mA</t>
  </si>
  <si>
    <t>6V</t>
  </si>
  <si>
    <t>C1Q 750</t>
  </si>
  <si>
    <t>C1Q 375</t>
  </si>
  <si>
    <t>375mA</t>
  </si>
  <si>
    <t>MCR01MRTF1001</t>
  </si>
  <si>
    <t>MCR18EZPJ101</t>
  </si>
  <si>
    <t>MCR03ERTF2003</t>
  </si>
  <si>
    <t>AMP LIM</t>
  </si>
  <si>
    <t>VOLT LIM</t>
  </si>
  <si>
    <t>SIZE</t>
  </si>
  <si>
    <t>PART NO.</t>
  </si>
  <si>
    <t>SWITCHES</t>
  </si>
  <si>
    <t>ISL43210IHZ-T</t>
  </si>
  <si>
    <t>PE42420LGBB-Z</t>
  </si>
  <si>
    <t>PE4251MLI-Z</t>
  </si>
  <si>
    <t>PE42420C-Z</t>
  </si>
  <si>
    <t>ISL433210IHZ-T</t>
  </si>
  <si>
    <t>TS5A3359DCUR</t>
  </si>
  <si>
    <t>PE42520MLBA-Z</t>
  </si>
  <si>
    <t>PE424442A-Z</t>
  </si>
  <si>
    <t>SKY13588-460LF</t>
  </si>
  <si>
    <t>TS5A23159RSER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</si>
</sst>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indent="1"/>
    </xf>
    <xf numFmtId="0" fontId="0" fillId="0" borderId="0" xfId="0" quotePrefix="1" applyAlignment="1">
      <alignment horizontal="left" indent="1"/>
    </xf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quotePrefix="1" applyNumberFormat="1" applyAlignment="1">
      <alignment horizontal="left" inden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5" borderId="0" xfId="0" applyFill="1"/>
    <xf numFmtId="0" fontId="0" fillId="5" borderId="0" xfId="0" quotePrefix="1" applyFill="1" applyAlignment="1">
      <alignment horizontal="left" indent="1"/>
    </xf>
    <xf numFmtId="0" fontId="2" fillId="5" borderId="0" xfId="0" applyFont="1" applyFill="1"/>
    <xf numFmtId="0" fontId="0" fillId="5" borderId="0" xfId="0" quotePrefix="1" applyFill="1"/>
    <xf numFmtId="0" fontId="2" fillId="5" borderId="0" xfId="0" quotePrefix="1" applyFont="1" applyFill="1"/>
    <xf numFmtId="0" fontId="0" fillId="5" borderId="0" xfId="0" applyFill="1" applyAlignment="1">
      <alignment horizontal="left" indent="1"/>
    </xf>
    <xf numFmtId="0" fontId="0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AI108"/>
  <sheetViews>
    <sheetView tabSelected="1" topLeftCell="AC84" zoomScale="78" zoomScaleNormal="115" workbookViewId="0">
      <selection activeCell="AH98" sqref="AH98"/>
    </sheetView>
  </sheetViews>
  <sheetFormatPr defaultRowHeight="14.25" x14ac:dyDescent="0.45"/>
  <cols>
    <col min="1" max="1" width="27.6640625" customWidth="1"/>
    <col min="2" max="2" width="13.6640625" customWidth="1"/>
    <col min="3" max="4" width="10.59765625" customWidth="1"/>
    <col min="5" max="5" width="19.6640625" style="14" customWidth="1"/>
    <col min="6" max="6" width="21.19921875" customWidth="1"/>
    <col min="7" max="7" width="10.86328125" customWidth="1"/>
    <col min="8" max="8" width="13.46484375" customWidth="1"/>
    <col min="9" max="9" width="12.796875" customWidth="1"/>
    <col min="10" max="13" width="18.6640625" customWidth="1"/>
    <col min="14" max="14" width="15.6640625" customWidth="1"/>
    <col min="15" max="15" width="20.46484375" customWidth="1"/>
    <col min="16" max="16" width="14.86328125" customWidth="1"/>
    <col min="17" max="17" width="27.19921875" customWidth="1"/>
    <col min="18" max="20" width="15.3984375" customWidth="1"/>
    <col min="21" max="23" width="33.06640625" customWidth="1"/>
    <col min="24" max="27" width="49.86328125" customWidth="1"/>
    <col min="28" max="28" width="32.46484375" customWidth="1"/>
    <col min="29" max="29" width="33.59765625" customWidth="1"/>
    <col min="30" max="30" width="18.19921875" customWidth="1"/>
    <col min="34" max="34" width="17.796875" customWidth="1"/>
  </cols>
  <sheetData>
    <row r="1" spans="1:31" x14ac:dyDescent="0.45">
      <c r="A1" s="16" t="s">
        <v>82</v>
      </c>
      <c r="B1" s="16"/>
      <c r="C1" s="16"/>
      <c r="D1" s="16"/>
      <c r="E1" s="16"/>
      <c r="F1" s="17" t="s">
        <v>0</v>
      </c>
      <c r="G1" s="17"/>
      <c r="H1" s="17"/>
      <c r="I1" s="17"/>
      <c r="J1" s="17"/>
      <c r="K1" s="18" t="s">
        <v>83</v>
      </c>
      <c r="L1" s="18"/>
      <c r="M1" s="18"/>
      <c r="N1" s="18"/>
      <c r="O1" s="1" t="s">
        <v>1</v>
      </c>
      <c r="P1" s="19" t="s">
        <v>2</v>
      </c>
      <c r="Q1" s="19"/>
      <c r="R1" s="1" t="s">
        <v>12</v>
      </c>
      <c r="S1" s="1" t="s">
        <v>84</v>
      </c>
      <c r="T1" s="1" t="s">
        <v>45</v>
      </c>
      <c r="U1" s="1" t="s">
        <v>25</v>
      </c>
      <c r="V1" s="1" t="s">
        <v>58</v>
      </c>
      <c r="W1" s="1" t="s">
        <v>56</v>
      </c>
      <c r="X1" s="1" t="s">
        <v>44</v>
      </c>
      <c r="Y1" s="1" t="s">
        <v>77</v>
      </c>
      <c r="Z1" s="1" t="s">
        <v>37</v>
      </c>
      <c r="AA1" s="1" t="s">
        <v>69</v>
      </c>
      <c r="AB1" s="1" t="s">
        <v>3</v>
      </c>
      <c r="AC1" s="1" t="s">
        <v>154</v>
      </c>
      <c r="AD1" s="1" t="s">
        <v>403</v>
      </c>
      <c r="AE1" s="1"/>
    </row>
    <row r="2" spans="1:31" x14ac:dyDescent="0.45">
      <c r="A2" t="s">
        <v>188</v>
      </c>
      <c r="B2" t="s">
        <v>189</v>
      </c>
      <c r="C2" s="3" t="s">
        <v>249</v>
      </c>
      <c r="D2" t="s">
        <v>191</v>
      </c>
      <c r="E2" s="11" t="s">
        <v>190</v>
      </c>
      <c r="F2" s="2" t="s">
        <v>188</v>
      </c>
      <c r="G2" s="2" t="s">
        <v>205</v>
      </c>
      <c r="H2" s="10" t="s">
        <v>254</v>
      </c>
      <c r="I2" s="2" t="s">
        <v>191</v>
      </c>
      <c r="J2" s="2" t="s">
        <v>190</v>
      </c>
      <c r="K2" t="s">
        <v>188</v>
      </c>
      <c r="L2" t="s">
        <v>250</v>
      </c>
      <c r="M2" t="s">
        <v>191</v>
      </c>
      <c r="N2" s="2" t="s">
        <v>190</v>
      </c>
      <c r="O2" t="s">
        <v>5</v>
      </c>
      <c r="P2" t="s">
        <v>188</v>
      </c>
      <c r="Q2" t="s">
        <v>253</v>
      </c>
      <c r="R2" t="s">
        <v>13</v>
      </c>
      <c r="S2" t="s">
        <v>85</v>
      </c>
      <c r="T2" t="s">
        <v>46</v>
      </c>
      <c r="U2" t="s">
        <v>26</v>
      </c>
      <c r="V2" t="s">
        <v>59</v>
      </c>
      <c r="W2" t="s">
        <v>57</v>
      </c>
      <c r="X2" t="s">
        <v>43</v>
      </c>
      <c r="Y2" t="s">
        <v>78</v>
      </c>
      <c r="Z2" t="s">
        <v>67</v>
      </c>
      <c r="AA2" t="s">
        <v>70</v>
      </c>
      <c r="AB2" t="s">
        <v>9</v>
      </c>
      <c r="AC2" t="s">
        <v>155</v>
      </c>
    </row>
    <row r="3" spans="1:31" x14ac:dyDescent="0.45">
      <c r="B3" s="3">
        <v>0</v>
      </c>
      <c r="C3">
        <f t="shared" ref="C3:C34" si="0">IF(RIGHT(B3,1)="k", VALUE(LEFT(B3,LEN(B3)-1))*1000, VALUE(B3))</f>
        <v>0</v>
      </c>
      <c r="E3" s="12" t="s">
        <v>193</v>
      </c>
      <c r="F3" s="6"/>
      <c r="G3" s="9" t="s">
        <v>208</v>
      </c>
      <c r="H3" s="2">
        <f t="shared" ref="H3:H66" si="1">IF(ISNUMBER(SEARCH("pF",G3)), VALUE(LEFT(G3,SEARCH("pF",G3)-1)),
 IF(ISNUMBER(SEARCH("nF",G3)), VALUE(LEFT(G3,SEARCH("nF",G3)-1))*1000,
 IF(ISNUMBER(SEARCH("uF",G3)), VALUE(LEFT(G3,SEARCH("uF",G3)-1))*1000000,"")))</f>
        <v>1</v>
      </c>
      <c r="I3" s="6"/>
      <c r="J3" s="4" t="s">
        <v>193</v>
      </c>
      <c r="K3" s="4"/>
      <c r="L3" s="4" t="s">
        <v>251</v>
      </c>
      <c r="M3" s="4"/>
      <c r="N3" s="4" t="s">
        <v>194</v>
      </c>
      <c r="O3" t="s">
        <v>60</v>
      </c>
      <c r="Q3" t="s">
        <v>6</v>
      </c>
      <c r="R3" t="s">
        <v>75</v>
      </c>
      <c r="S3" t="s">
        <v>86</v>
      </c>
      <c r="T3" t="s">
        <v>47</v>
      </c>
      <c r="U3" t="s">
        <v>27</v>
      </c>
      <c r="X3" t="s">
        <v>42</v>
      </c>
      <c r="Z3" t="s">
        <v>57</v>
      </c>
      <c r="AA3" t="s">
        <v>71</v>
      </c>
      <c r="AB3" t="s">
        <v>10</v>
      </c>
      <c r="AC3" t="s">
        <v>156</v>
      </c>
    </row>
    <row r="4" spans="1:31" x14ac:dyDescent="0.45">
      <c r="B4" s="3">
        <v>0</v>
      </c>
      <c r="C4">
        <f t="shared" si="0"/>
        <v>0</v>
      </c>
      <c r="E4" s="13" t="s">
        <v>202</v>
      </c>
      <c r="F4" s="6"/>
      <c r="G4" s="9" t="s">
        <v>208</v>
      </c>
      <c r="H4" s="2">
        <f t="shared" si="1"/>
        <v>1</v>
      </c>
      <c r="I4" s="6"/>
      <c r="J4" s="4" t="s">
        <v>193</v>
      </c>
      <c r="K4" s="4"/>
      <c r="L4" s="4" t="s">
        <v>252</v>
      </c>
      <c r="M4" s="4"/>
      <c r="N4" s="4" t="s">
        <v>194</v>
      </c>
      <c r="O4" t="s">
        <v>72</v>
      </c>
      <c r="Q4" t="s">
        <v>7</v>
      </c>
      <c r="T4" t="s">
        <v>48</v>
      </c>
      <c r="U4" t="s">
        <v>28</v>
      </c>
      <c r="X4" t="s">
        <v>89</v>
      </c>
      <c r="AB4" t="s">
        <v>11</v>
      </c>
      <c r="AC4" t="s">
        <v>157</v>
      </c>
    </row>
    <row r="5" spans="1:31" x14ac:dyDescent="0.45">
      <c r="A5" t="s">
        <v>324</v>
      </c>
      <c r="B5" s="3"/>
      <c r="C5">
        <f t="shared" si="0"/>
        <v>0</v>
      </c>
      <c r="E5" s="13" t="s">
        <v>317</v>
      </c>
      <c r="F5" s="6"/>
      <c r="G5" s="9" t="s">
        <v>219</v>
      </c>
      <c r="H5" s="2">
        <f t="shared" si="1"/>
        <v>2.2000000000000002</v>
      </c>
      <c r="I5" s="6"/>
      <c r="J5" s="4" t="s">
        <v>194</v>
      </c>
      <c r="K5" s="4"/>
      <c r="L5" s="4"/>
      <c r="M5" s="4"/>
      <c r="O5" t="s">
        <v>91</v>
      </c>
      <c r="Q5" t="s">
        <v>8</v>
      </c>
      <c r="T5" t="s">
        <v>49</v>
      </c>
      <c r="U5" t="s">
        <v>29</v>
      </c>
      <c r="AB5" t="s">
        <v>14</v>
      </c>
      <c r="AC5" t="s">
        <v>158</v>
      </c>
    </row>
    <row r="6" spans="1:31" x14ac:dyDescent="0.45">
      <c r="A6" t="s">
        <v>344</v>
      </c>
      <c r="B6">
        <v>0</v>
      </c>
      <c r="C6">
        <f t="shared" si="0"/>
        <v>0</v>
      </c>
      <c r="E6" s="12" t="s">
        <v>345</v>
      </c>
      <c r="F6" s="6"/>
      <c r="G6" s="9" t="s">
        <v>218</v>
      </c>
      <c r="H6" s="2">
        <f t="shared" si="1"/>
        <v>8.1999999999999993</v>
      </c>
      <c r="I6" s="6"/>
      <c r="J6" s="4" t="s">
        <v>194</v>
      </c>
      <c r="K6" s="4"/>
      <c r="L6" s="4"/>
      <c r="M6" s="4"/>
      <c r="Q6" t="s">
        <v>18</v>
      </c>
      <c r="T6" t="s">
        <v>50</v>
      </c>
      <c r="U6" t="s">
        <v>30</v>
      </c>
      <c r="AB6" t="s">
        <v>20</v>
      </c>
      <c r="AC6" t="s">
        <v>159</v>
      </c>
    </row>
    <row r="7" spans="1:31" x14ac:dyDescent="0.45">
      <c r="A7" t="s">
        <v>336</v>
      </c>
      <c r="B7">
        <v>4.12</v>
      </c>
      <c r="C7">
        <f t="shared" si="0"/>
        <v>4.12</v>
      </c>
      <c r="E7" s="13" t="s">
        <v>335</v>
      </c>
      <c r="F7" s="5"/>
      <c r="G7" s="9" t="s">
        <v>221</v>
      </c>
      <c r="H7" s="2">
        <f t="shared" si="1"/>
        <v>10</v>
      </c>
      <c r="I7" s="6"/>
      <c r="J7" s="4" t="s">
        <v>220</v>
      </c>
      <c r="Q7" t="s">
        <v>19</v>
      </c>
      <c r="T7" t="s">
        <v>51</v>
      </c>
      <c r="U7" t="s">
        <v>32</v>
      </c>
      <c r="AB7" t="s">
        <v>21</v>
      </c>
      <c r="AC7" t="s">
        <v>160</v>
      </c>
    </row>
    <row r="8" spans="1:31" x14ac:dyDescent="0.45">
      <c r="A8" t="s">
        <v>337</v>
      </c>
      <c r="B8">
        <v>4.99</v>
      </c>
      <c r="C8">
        <f t="shared" si="0"/>
        <v>4.99</v>
      </c>
      <c r="E8" s="13" t="s">
        <v>335</v>
      </c>
      <c r="F8" s="6"/>
      <c r="G8" s="9" t="s">
        <v>216</v>
      </c>
      <c r="H8" s="2">
        <f t="shared" si="1"/>
        <v>11</v>
      </c>
      <c r="I8" s="6"/>
      <c r="J8" s="4" t="s">
        <v>194</v>
      </c>
      <c r="K8" s="4"/>
      <c r="L8" s="4"/>
      <c r="M8" s="4"/>
      <c r="Q8" t="s">
        <v>65</v>
      </c>
      <c r="T8" t="s">
        <v>52</v>
      </c>
      <c r="U8" t="s">
        <v>33</v>
      </c>
      <c r="AB8" t="s">
        <v>23</v>
      </c>
      <c r="AC8" t="s">
        <v>161</v>
      </c>
    </row>
    <row r="9" spans="1:31" x14ac:dyDescent="0.45">
      <c r="B9" s="3">
        <v>10</v>
      </c>
      <c r="C9">
        <f t="shared" si="0"/>
        <v>10</v>
      </c>
      <c r="E9" s="13" t="s">
        <v>194</v>
      </c>
      <c r="F9" s="6"/>
      <c r="G9" s="9" t="s">
        <v>217</v>
      </c>
      <c r="H9" s="2">
        <f t="shared" si="1"/>
        <v>13</v>
      </c>
      <c r="I9" s="6"/>
      <c r="J9" s="4" t="s">
        <v>194</v>
      </c>
      <c r="K9" s="4"/>
      <c r="L9" s="4"/>
      <c r="M9" s="4"/>
      <c r="Q9" t="s">
        <v>66</v>
      </c>
      <c r="T9" t="s">
        <v>53</v>
      </c>
      <c r="U9" t="s">
        <v>34</v>
      </c>
      <c r="AB9" t="s">
        <v>24</v>
      </c>
      <c r="AC9" t="s">
        <v>162</v>
      </c>
    </row>
    <row r="10" spans="1:31" x14ac:dyDescent="0.45">
      <c r="A10" t="s">
        <v>319</v>
      </c>
      <c r="B10" s="3">
        <v>13</v>
      </c>
      <c r="C10">
        <f t="shared" si="0"/>
        <v>13</v>
      </c>
      <c r="E10" s="13" t="s">
        <v>317</v>
      </c>
      <c r="F10" s="6"/>
      <c r="G10" s="9" t="s">
        <v>227</v>
      </c>
      <c r="H10" s="2">
        <f t="shared" si="1"/>
        <v>20</v>
      </c>
      <c r="I10" s="6"/>
      <c r="J10" s="4" t="s">
        <v>194</v>
      </c>
      <c r="K10" s="4"/>
      <c r="L10" s="4"/>
      <c r="M10" s="4"/>
      <c r="Q10" t="s">
        <v>73</v>
      </c>
      <c r="T10" t="s">
        <v>54</v>
      </c>
      <c r="U10" t="s">
        <v>79</v>
      </c>
      <c r="AB10" t="s">
        <v>31</v>
      </c>
      <c r="AC10" t="s">
        <v>163</v>
      </c>
    </row>
    <row r="11" spans="1:31" x14ac:dyDescent="0.45">
      <c r="B11" s="3">
        <v>15</v>
      </c>
      <c r="C11">
        <f t="shared" si="0"/>
        <v>15</v>
      </c>
      <c r="E11" s="13" t="s">
        <v>196</v>
      </c>
      <c r="F11" s="6"/>
      <c r="G11" s="8" t="s">
        <v>222</v>
      </c>
      <c r="H11" s="2">
        <f t="shared" si="1"/>
        <v>22</v>
      </c>
      <c r="I11" s="5"/>
      <c r="J11" s="4" t="s">
        <v>203</v>
      </c>
      <c r="Q11" t="s">
        <v>92</v>
      </c>
      <c r="T11" t="s">
        <v>55</v>
      </c>
      <c r="U11" t="s">
        <v>80</v>
      </c>
      <c r="AB11" t="s">
        <v>35</v>
      </c>
      <c r="AC11" t="s">
        <v>164</v>
      </c>
    </row>
    <row r="12" spans="1:31" x14ac:dyDescent="0.45">
      <c r="B12" s="3">
        <v>16.5</v>
      </c>
      <c r="C12">
        <f t="shared" si="0"/>
        <v>16.5</v>
      </c>
      <c r="E12" s="13" t="s">
        <v>193</v>
      </c>
      <c r="F12" s="6"/>
      <c r="G12" s="9" t="s">
        <v>222</v>
      </c>
      <c r="H12" s="2">
        <f t="shared" si="1"/>
        <v>22</v>
      </c>
      <c r="I12" s="6"/>
      <c r="J12" s="4" t="s">
        <v>228</v>
      </c>
      <c r="P12" t="s">
        <v>256</v>
      </c>
      <c r="Q12" t="s">
        <v>255</v>
      </c>
      <c r="T12" t="s">
        <v>90</v>
      </c>
      <c r="U12" t="s">
        <v>81</v>
      </c>
      <c r="AB12" t="s">
        <v>36</v>
      </c>
      <c r="AC12" t="s">
        <v>165</v>
      </c>
    </row>
    <row r="13" spans="1:31" x14ac:dyDescent="0.45">
      <c r="B13" s="3">
        <v>24.9</v>
      </c>
      <c r="C13">
        <f t="shared" si="0"/>
        <v>24.9</v>
      </c>
      <c r="E13" s="13" t="s">
        <v>203</v>
      </c>
      <c r="F13" s="6"/>
      <c r="G13" s="9" t="s">
        <v>22</v>
      </c>
      <c r="H13" s="2">
        <f t="shared" si="1"/>
        <v>100</v>
      </c>
      <c r="I13" s="6"/>
      <c r="P13" t="s">
        <v>257</v>
      </c>
      <c r="Q13" t="s">
        <v>258</v>
      </c>
      <c r="U13" t="s">
        <v>87</v>
      </c>
      <c r="AC13" t="s">
        <v>166</v>
      </c>
    </row>
    <row r="14" spans="1:31" x14ac:dyDescent="0.45">
      <c r="A14" t="s">
        <v>318</v>
      </c>
      <c r="B14" s="3">
        <v>24.9</v>
      </c>
      <c r="C14">
        <f t="shared" si="0"/>
        <v>24.9</v>
      </c>
      <c r="E14" s="13" t="s">
        <v>317</v>
      </c>
      <c r="F14" s="5"/>
      <c r="G14" s="8" t="s">
        <v>206</v>
      </c>
      <c r="H14" s="2">
        <f t="shared" si="1"/>
        <v>1000</v>
      </c>
      <c r="I14" s="5"/>
      <c r="J14" s="4" t="s">
        <v>207</v>
      </c>
      <c r="K14" s="4"/>
      <c r="L14" s="4"/>
      <c r="M14" s="4"/>
      <c r="P14" t="s">
        <v>259</v>
      </c>
      <c r="Q14" t="s">
        <v>260</v>
      </c>
      <c r="U14" t="s">
        <v>93</v>
      </c>
      <c r="AB14" t="s">
        <v>38</v>
      </c>
      <c r="AC14" t="s">
        <v>167</v>
      </c>
    </row>
    <row r="15" spans="1:31" x14ac:dyDescent="0.45">
      <c r="B15" s="3">
        <v>27.4</v>
      </c>
      <c r="C15">
        <f t="shared" si="0"/>
        <v>27.4</v>
      </c>
      <c r="E15" s="13" t="s">
        <v>202</v>
      </c>
      <c r="F15" s="6"/>
      <c r="G15" s="9" t="s">
        <v>224</v>
      </c>
      <c r="H15" s="2">
        <f t="shared" si="1"/>
        <v>1000</v>
      </c>
      <c r="I15" s="6"/>
      <c r="J15" s="4" t="s">
        <v>194</v>
      </c>
      <c r="P15" t="s">
        <v>261</v>
      </c>
      <c r="Q15" t="s">
        <v>262</v>
      </c>
      <c r="U15" t="s">
        <v>26</v>
      </c>
      <c r="AB15" t="s">
        <v>39</v>
      </c>
      <c r="AC15" t="s">
        <v>168</v>
      </c>
    </row>
    <row r="16" spans="1:31" x14ac:dyDescent="0.45">
      <c r="A16" t="s">
        <v>282</v>
      </c>
      <c r="B16" s="3">
        <v>40.200000000000003</v>
      </c>
      <c r="C16" s="3">
        <f t="shared" si="0"/>
        <v>40.200000000000003</v>
      </c>
      <c r="E16" s="12" t="s">
        <v>194</v>
      </c>
      <c r="F16" s="6" t="s">
        <v>231</v>
      </c>
      <c r="G16" s="9" t="s">
        <v>224</v>
      </c>
      <c r="H16" s="2">
        <f t="shared" si="1"/>
        <v>1000</v>
      </c>
      <c r="I16" s="6"/>
      <c r="J16" s="4" t="s">
        <v>193</v>
      </c>
      <c r="K16" s="4"/>
      <c r="L16" s="4"/>
      <c r="M16" s="4"/>
      <c r="P16" t="s">
        <v>263</v>
      </c>
      <c r="Q16" t="s">
        <v>264</v>
      </c>
      <c r="U16" t="s">
        <v>94</v>
      </c>
      <c r="AC16" t="s">
        <v>169</v>
      </c>
    </row>
    <row r="17" spans="1:29" x14ac:dyDescent="0.45">
      <c r="A17" t="s">
        <v>276</v>
      </c>
      <c r="B17" s="7">
        <v>56</v>
      </c>
      <c r="C17" s="7">
        <f t="shared" si="0"/>
        <v>56</v>
      </c>
      <c r="E17" s="12" t="s">
        <v>194</v>
      </c>
      <c r="F17" s="6"/>
      <c r="G17" s="9" t="s">
        <v>213</v>
      </c>
      <c r="H17" s="2">
        <f t="shared" si="1"/>
        <v>10000</v>
      </c>
      <c r="I17" s="6"/>
      <c r="J17" s="4" t="s">
        <v>194</v>
      </c>
      <c r="K17" s="4"/>
      <c r="L17" s="4"/>
      <c r="M17" s="4"/>
      <c r="P17" t="s">
        <v>265</v>
      </c>
      <c r="Q17" t="s">
        <v>266</v>
      </c>
      <c r="U17" t="s">
        <v>95</v>
      </c>
      <c r="AB17" t="s">
        <v>41</v>
      </c>
      <c r="AC17" t="s">
        <v>170</v>
      </c>
    </row>
    <row r="18" spans="1:29" x14ac:dyDescent="0.45">
      <c r="A18" t="s">
        <v>316</v>
      </c>
      <c r="B18" s="7">
        <v>75</v>
      </c>
      <c r="C18">
        <f t="shared" si="0"/>
        <v>75</v>
      </c>
      <c r="E18" s="13" t="s">
        <v>317</v>
      </c>
      <c r="F18" s="6"/>
      <c r="G18" s="9" t="s">
        <v>229</v>
      </c>
      <c r="H18" s="2">
        <f t="shared" si="1"/>
        <v>10000</v>
      </c>
      <c r="I18" s="6"/>
      <c r="J18" s="4" t="s">
        <v>194</v>
      </c>
      <c r="K18" s="4"/>
      <c r="L18" s="4"/>
      <c r="M18" s="4"/>
      <c r="P18" t="s">
        <v>267</v>
      </c>
      <c r="Q18" t="s">
        <v>268</v>
      </c>
      <c r="U18" t="s">
        <v>96</v>
      </c>
      <c r="AB18" t="s">
        <v>61</v>
      </c>
      <c r="AC18" t="s">
        <v>171</v>
      </c>
    </row>
    <row r="19" spans="1:29" x14ac:dyDescent="0.45">
      <c r="A19" t="s">
        <v>343</v>
      </c>
      <c r="B19">
        <v>82</v>
      </c>
      <c r="C19">
        <f t="shared" si="0"/>
        <v>82</v>
      </c>
      <c r="E19" s="14">
        <v>1206</v>
      </c>
      <c r="F19" s="6"/>
      <c r="G19" s="9" t="s">
        <v>212</v>
      </c>
      <c r="H19" s="2">
        <f t="shared" si="1"/>
        <v>100000</v>
      </c>
      <c r="I19" s="6"/>
      <c r="J19" s="4" t="s">
        <v>193</v>
      </c>
      <c r="K19" s="4"/>
      <c r="L19" s="4"/>
      <c r="M19" s="4"/>
      <c r="P19" s="4" t="s">
        <v>270</v>
      </c>
      <c r="Q19" t="s">
        <v>269</v>
      </c>
      <c r="U19" t="s">
        <v>97</v>
      </c>
      <c r="AB19" t="s">
        <v>62</v>
      </c>
      <c r="AC19" t="s">
        <v>172</v>
      </c>
    </row>
    <row r="20" spans="1:29" x14ac:dyDescent="0.45">
      <c r="A20" t="s">
        <v>339</v>
      </c>
      <c r="B20">
        <v>88.7</v>
      </c>
      <c r="C20">
        <f t="shared" si="0"/>
        <v>88.7</v>
      </c>
      <c r="E20" s="13" t="s">
        <v>335</v>
      </c>
      <c r="F20" s="6"/>
      <c r="G20" s="9" t="s">
        <v>88</v>
      </c>
      <c r="H20" s="2">
        <f t="shared" si="1"/>
        <v>100000</v>
      </c>
      <c r="I20" s="6"/>
      <c r="K20" s="4"/>
      <c r="L20" s="4"/>
      <c r="M20" s="4"/>
      <c r="P20" t="s">
        <v>271</v>
      </c>
      <c r="Q20" t="s">
        <v>272</v>
      </c>
      <c r="U20" t="s">
        <v>113</v>
      </c>
      <c r="AB20" t="s">
        <v>63</v>
      </c>
      <c r="AC20" t="s">
        <v>173</v>
      </c>
    </row>
    <row r="21" spans="1:29" x14ac:dyDescent="0.45">
      <c r="B21" s="3">
        <v>91</v>
      </c>
      <c r="C21">
        <f t="shared" si="0"/>
        <v>91</v>
      </c>
      <c r="E21" s="13" t="s">
        <v>194</v>
      </c>
      <c r="F21" s="6"/>
      <c r="G21" s="9" t="s">
        <v>210</v>
      </c>
      <c r="H21" s="2">
        <f t="shared" si="1"/>
        <v>1000000</v>
      </c>
      <c r="I21" s="6"/>
      <c r="J21" s="4" t="s">
        <v>194</v>
      </c>
      <c r="K21" s="4"/>
      <c r="L21" s="4"/>
      <c r="M21" s="4"/>
      <c r="P21" t="s">
        <v>274</v>
      </c>
      <c r="Q21" t="s">
        <v>274</v>
      </c>
      <c r="U21" t="s">
        <v>98</v>
      </c>
      <c r="AB21" t="s">
        <v>40</v>
      </c>
      <c r="AC21" t="s">
        <v>174</v>
      </c>
    </row>
    <row r="22" spans="1:29" x14ac:dyDescent="0.45">
      <c r="B22" s="3">
        <v>100</v>
      </c>
      <c r="C22">
        <f t="shared" si="0"/>
        <v>100</v>
      </c>
      <c r="E22" s="13" t="s">
        <v>193</v>
      </c>
      <c r="F22" s="6"/>
      <c r="G22" s="9" t="s">
        <v>223</v>
      </c>
      <c r="H22" s="2">
        <f t="shared" si="1"/>
        <v>1000000</v>
      </c>
      <c r="I22" s="6"/>
      <c r="J22" s="4" t="s">
        <v>194</v>
      </c>
      <c r="K22" s="4"/>
      <c r="L22" s="4"/>
      <c r="M22" s="4"/>
      <c r="U22" t="s">
        <v>99</v>
      </c>
      <c r="AB22" t="s">
        <v>64</v>
      </c>
      <c r="AC22" t="s">
        <v>175</v>
      </c>
    </row>
    <row r="23" spans="1:29" x14ac:dyDescent="0.45">
      <c r="A23" t="s">
        <v>323</v>
      </c>
      <c r="B23" s="3">
        <v>100</v>
      </c>
      <c r="C23">
        <f t="shared" si="0"/>
        <v>100</v>
      </c>
      <c r="E23" s="13" t="s">
        <v>317</v>
      </c>
      <c r="F23" s="6"/>
      <c r="G23" s="9" t="s">
        <v>210</v>
      </c>
      <c r="H23" s="2">
        <f t="shared" si="1"/>
        <v>1000000</v>
      </c>
      <c r="I23" s="6"/>
      <c r="J23" s="4" t="s">
        <v>194</v>
      </c>
      <c r="K23" s="4"/>
      <c r="L23" s="4"/>
      <c r="M23" s="4"/>
      <c r="U23" t="s">
        <v>100</v>
      </c>
      <c r="AB23" t="s">
        <v>68</v>
      </c>
      <c r="AC23" t="s">
        <v>176</v>
      </c>
    </row>
    <row r="24" spans="1:29" x14ac:dyDescent="0.45">
      <c r="A24" t="s">
        <v>334</v>
      </c>
      <c r="B24">
        <v>100</v>
      </c>
      <c r="C24">
        <f t="shared" si="0"/>
        <v>100</v>
      </c>
      <c r="E24" s="13" t="s">
        <v>335</v>
      </c>
      <c r="F24" s="6"/>
      <c r="G24" s="9" t="s">
        <v>211</v>
      </c>
      <c r="H24" s="2">
        <f t="shared" si="1"/>
        <v>2200000</v>
      </c>
      <c r="I24" s="6"/>
      <c r="J24" s="4" t="s">
        <v>193</v>
      </c>
      <c r="K24" s="4"/>
      <c r="L24" s="4"/>
      <c r="M24" s="4"/>
      <c r="U24" t="s">
        <v>101</v>
      </c>
      <c r="AB24" t="s">
        <v>74</v>
      </c>
      <c r="AC24" t="s">
        <v>177</v>
      </c>
    </row>
    <row r="25" spans="1:29" x14ac:dyDescent="0.45">
      <c r="A25" t="s">
        <v>292</v>
      </c>
      <c r="B25">
        <v>133</v>
      </c>
      <c r="C25" s="3">
        <f t="shared" si="0"/>
        <v>133</v>
      </c>
      <c r="E25" s="12" t="s">
        <v>194</v>
      </c>
      <c r="F25" s="6"/>
      <c r="G25" s="9" t="s">
        <v>230</v>
      </c>
      <c r="H25" s="2">
        <f t="shared" si="1"/>
        <v>2200000</v>
      </c>
      <c r="I25" s="6"/>
      <c r="J25" s="4" t="s">
        <v>194</v>
      </c>
      <c r="K25" s="4"/>
      <c r="L25" s="4"/>
      <c r="M25" s="4"/>
      <c r="U25" t="s">
        <v>102</v>
      </c>
      <c r="AB25" t="s">
        <v>76</v>
      </c>
      <c r="AC25" t="s">
        <v>178</v>
      </c>
    </row>
    <row r="26" spans="1:29" x14ac:dyDescent="0.45">
      <c r="A26" t="s">
        <v>338</v>
      </c>
      <c r="B26">
        <v>215</v>
      </c>
      <c r="C26">
        <f t="shared" si="0"/>
        <v>215</v>
      </c>
      <c r="E26" s="14">
        <v>1206</v>
      </c>
      <c r="F26" s="6"/>
      <c r="G26" s="9" t="s">
        <v>230</v>
      </c>
      <c r="H26" s="2">
        <f t="shared" si="1"/>
        <v>2200000</v>
      </c>
      <c r="I26" s="6"/>
      <c r="J26" s="4" t="s">
        <v>194</v>
      </c>
      <c r="K26" s="4"/>
      <c r="L26" s="4"/>
      <c r="M26" s="4"/>
      <c r="U26" t="s">
        <v>103</v>
      </c>
      <c r="AC26" t="s">
        <v>179</v>
      </c>
    </row>
    <row r="27" spans="1:29" x14ac:dyDescent="0.45">
      <c r="A27" t="s">
        <v>340</v>
      </c>
      <c r="B27">
        <v>215</v>
      </c>
      <c r="C27">
        <f t="shared" si="0"/>
        <v>215</v>
      </c>
      <c r="E27" s="13" t="s">
        <v>317</v>
      </c>
      <c r="F27" s="6"/>
      <c r="G27" s="9" t="s">
        <v>209</v>
      </c>
      <c r="H27" s="2">
        <f t="shared" si="1"/>
        <v>10000000</v>
      </c>
      <c r="I27" s="6"/>
      <c r="J27" s="4" t="s">
        <v>193</v>
      </c>
      <c r="K27" s="4"/>
      <c r="L27" s="4"/>
      <c r="M27" s="4"/>
      <c r="U27" t="s">
        <v>104</v>
      </c>
      <c r="AC27" t="s">
        <v>180</v>
      </c>
    </row>
    <row r="28" spans="1:29" x14ac:dyDescent="0.45">
      <c r="A28" t="s">
        <v>320</v>
      </c>
      <c r="B28" s="3">
        <v>220</v>
      </c>
      <c r="C28">
        <f t="shared" si="0"/>
        <v>220</v>
      </c>
      <c r="E28" s="13" t="s">
        <v>317</v>
      </c>
      <c r="F28" s="6"/>
      <c r="G28" s="9" t="s">
        <v>4</v>
      </c>
      <c r="H28" s="2">
        <f t="shared" si="1"/>
        <v>10000000</v>
      </c>
      <c r="I28" s="6"/>
      <c r="K28" s="4"/>
      <c r="L28" s="4"/>
      <c r="M28" s="4"/>
      <c r="U28" t="s">
        <v>105</v>
      </c>
      <c r="AC28" t="s">
        <v>181</v>
      </c>
    </row>
    <row r="29" spans="1:29" x14ac:dyDescent="0.45">
      <c r="A29" t="s">
        <v>281</v>
      </c>
      <c r="B29" s="3">
        <v>240</v>
      </c>
      <c r="C29" s="3">
        <f t="shared" si="0"/>
        <v>240</v>
      </c>
      <c r="E29" s="12" t="s">
        <v>194</v>
      </c>
      <c r="F29" s="6"/>
      <c r="G29" s="9" t="s">
        <v>209</v>
      </c>
      <c r="H29" s="2">
        <f t="shared" si="1"/>
        <v>10000000</v>
      </c>
      <c r="I29" s="6"/>
      <c r="J29" s="4" t="s">
        <v>193</v>
      </c>
      <c r="K29" s="4"/>
      <c r="L29" s="4"/>
      <c r="M29" s="4"/>
      <c r="U29" t="s">
        <v>106</v>
      </c>
      <c r="AC29" t="s">
        <v>182</v>
      </c>
    </row>
    <row r="30" spans="1:29" x14ac:dyDescent="0.45">
      <c r="A30" t="s">
        <v>322</v>
      </c>
      <c r="B30" s="3">
        <v>249</v>
      </c>
      <c r="C30">
        <f t="shared" si="0"/>
        <v>249</v>
      </c>
      <c r="E30" s="14">
        <v>1206</v>
      </c>
      <c r="F30" s="6"/>
      <c r="G30" s="9" t="s">
        <v>226</v>
      </c>
      <c r="H30" s="2">
        <f t="shared" si="1"/>
        <v>16000000</v>
      </c>
      <c r="I30" s="6"/>
      <c r="J30" s="4" t="s">
        <v>225</v>
      </c>
      <c r="K30" s="4"/>
      <c r="L30" s="4"/>
      <c r="M30" s="4"/>
      <c r="U30" t="s">
        <v>107</v>
      </c>
      <c r="AC30" t="s">
        <v>183</v>
      </c>
    </row>
    <row r="31" spans="1:29" x14ac:dyDescent="0.45">
      <c r="A31" t="s">
        <v>291</v>
      </c>
      <c r="B31">
        <v>287</v>
      </c>
      <c r="C31" s="3">
        <f t="shared" si="0"/>
        <v>287</v>
      </c>
      <c r="E31" s="12" t="s">
        <v>194</v>
      </c>
      <c r="F31" s="6"/>
      <c r="G31" s="3" t="s">
        <v>15</v>
      </c>
      <c r="H31" s="2">
        <f t="shared" si="1"/>
        <v>220000000</v>
      </c>
      <c r="I31" s="6"/>
      <c r="K31" s="4"/>
      <c r="L31" s="4"/>
      <c r="M31" s="4"/>
      <c r="U31" t="s">
        <v>108</v>
      </c>
      <c r="AC31" t="s">
        <v>184</v>
      </c>
    </row>
    <row r="32" spans="1:29" x14ac:dyDescent="0.45">
      <c r="B32" s="3">
        <v>300</v>
      </c>
      <c r="C32">
        <f t="shared" si="0"/>
        <v>300</v>
      </c>
      <c r="E32" s="13" t="s">
        <v>202</v>
      </c>
      <c r="F32" s="6"/>
      <c r="G32" s="9" t="s">
        <v>214</v>
      </c>
      <c r="H32" s="2">
        <f t="shared" si="1"/>
        <v>220000000</v>
      </c>
      <c r="I32" s="6"/>
      <c r="J32" s="4" t="s">
        <v>215</v>
      </c>
      <c r="K32" s="4"/>
      <c r="L32" s="4"/>
      <c r="M32" s="4"/>
      <c r="U32" t="s">
        <v>110</v>
      </c>
      <c r="AC32" t="s">
        <v>185</v>
      </c>
    </row>
    <row r="33" spans="1:29" x14ac:dyDescent="0.45">
      <c r="A33" t="s">
        <v>278</v>
      </c>
      <c r="B33" s="3">
        <v>402</v>
      </c>
      <c r="C33" s="3">
        <f t="shared" si="0"/>
        <v>402</v>
      </c>
      <c r="E33" s="12" t="s">
        <v>194</v>
      </c>
      <c r="F33" s="6"/>
      <c r="G33" s="9" t="s">
        <v>232</v>
      </c>
      <c r="H33" s="2">
        <f t="shared" si="1"/>
        <v>220000000</v>
      </c>
      <c r="I33" s="6" t="s">
        <v>233</v>
      </c>
      <c r="J33" s="4" t="s">
        <v>215</v>
      </c>
      <c r="U33" t="s">
        <v>109</v>
      </c>
      <c r="AC33" t="s">
        <v>186</v>
      </c>
    </row>
    <row r="34" spans="1:29" x14ac:dyDescent="0.45">
      <c r="A34" t="s">
        <v>321</v>
      </c>
      <c r="B34" s="3">
        <v>402</v>
      </c>
      <c r="C34">
        <f t="shared" si="0"/>
        <v>402</v>
      </c>
      <c r="E34" s="13" t="s">
        <v>317</v>
      </c>
      <c r="F34" s="6"/>
      <c r="G34" s="3" t="s">
        <v>17</v>
      </c>
      <c r="H34" s="2">
        <f t="shared" si="1"/>
        <v>330000000</v>
      </c>
      <c r="I34" s="5"/>
      <c r="K34" s="4"/>
      <c r="L34" s="4"/>
      <c r="M34" s="4"/>
      <c r="U34" t="s">
        <v>111</v>
      </c>
      <c r="AC34" t="s">
        <v>187</v>
      </c>
    </row>
    <row r="35" spans="1:29" x14ac:dyDescent="0.45">
      <c r="A35" t="s">
        <v>277</v>
      </c>
      <c r="B35" s="3">
        <v>453</v>
      </c>
      <c r="C35" s="3">
        <f t="shared" ref="C35:C66" si="2">IF(RIGHT(B35,1)="k", VALUE(LEFT(B35,LEN(B35)-1))*1000, VALUE(B35))</f>
        <v>453</v>
      </c>
      <c r="E35" s="15" t="s">
        <v>194</v>
      </c>
      <c r="F35" s="5"/>
      <c r="G35" s="3" t="s">
        <v>16</v>
      </c>
      <c r="H35" s="2">
        <f t="shared" si="1"/>
        <v>470000000</v>
      </c>
      <c r="I35" s="6"/>
      <c r="K35" s="4"/>
      <c r="L35" s="4"/>
      <c r="M35" s="4"/>
      <c r="U35" t="s">
        <v>112</v>
      </c>
    </row>
    <row r="36" spans="1:29" x14ac:dyDescent="0.45">
      <c r="B36" s="3">
        <v>715</v>
      </c>
      <c r="C36">
        <f t="shared" si="2"/>
        <v>715</v>
      </c>
      <c r="E36" s="12" t="s">
        <v>194</v>
      </c>
      <c r="F36" s="6"/>
      <c r="G36" s="6"/>
      <c r="H36" s="2" t="str">
        <f t="shared" si="1"/>
        <v/>
      </c>
      <c r="I36" s="6"/>
      <c r="U36" t="s">
        <v>114</v>
      </c>
    </row>
    <row r="37" spans="1:29" x14ac:dyDescent="0.45">
      <c r="B37" s="3" t="s">
        <v>248</v>
      </c>
      <c r="C37">
        <f t="shared" si="2"/>
        <v>1000</v>
      </c>
      <c r="E37" s="13" t="s">
        <v>194</v>
      </c>
      <c r="F37" s="6"/>
      <c r="G37" s="6"/>
      <c r="H37" s="2" t="str">
        <f t="shared" si="1"/>
        <v/>
      </c>
      <c r="I37" s="6"/>
      <c r="U37" t="s">
        <v>115</v>
      </c>
    </row>
    <row r="38" spans="1:29" x14ac:dyDescent="0.45">
      <c r="B38" s="3" t="s">
        <v>195</v>
      </c>
      <c r="C38">
        <f t="shared" si="2"/>
        <v>1050</v>
      </c>
      <c r="E38" s="13" t="s">
        <v>194</v>
      </c>
      <c r="G38" s="6"/>
      <c r="H38" s="2" t="str">
        <f t="shared" si="1"/>
        <v/>
      </c>
      <c r="I38" s="6"/>
      <c r="U38" t="s">
        <v>116</v>
      </c>
    </row>
    <row r="39" spans="1:29" x14ac:dyDescent="0.45">
      <c r="B39" s="3" t="s">
        <v>247</v>
      </c>
      <c r="C39">
        <f t="shared" si="2"/>
        <v>1200</v>
      </c>
      <c r="E39" s="13" t="s">
        <v>202</v>
      </c>
      <c r="H39" s="2" t="str">
        <f t="shared" si="1"/>
        <v/>
      </c>
      <c r="U39" t="s">
        <v>117</v>
      </c>
    </row>
    <row r="40" spans="1:29" x14ac:dyDescent="0.45">
      <c r="B40" s="3" t="s">
        <v>246</v>
      </c>
      <c r="C40">
        <f t="shared" si="2"/>
        <v>1300</v>
      </c>
      <c r="E40" s="13" t="s">
        <v>194</v>
      </c>
      <c r="H40" s="2" t="str">
        <f t="shared" si="1"/>
        <v/>
      </c>
      <c r="U40" t="s">
        <v>118</v>
      </c>
    </row>
    <row r="41" spans="1:29" x14ac:dyDescent="0.45">
      <c r="B41" s="3" t="s">
        <v>246</v>
      </c>
      <c r="C41">
        <f t="shared" si="2"/>
        <v>1300</v>
      </c>
      <c r="E41" s="13" t="s">
        <v>204</v>
      </c>
      <c r="H41" s="2" t="str">
        <f t="shared" si="1"/>
        <v/>
      </c>
      <c r="U41" t="s">
        <v>119</v>
      </c>
    </row>
    <row r="42" spans="1:29" x14ac:dyDescent="0.45">
      <c r="B42" s="3" t="s">
        <v>246</v>
      </c>
      <c r="C42">
        <f t="shared" si="2"/>
        <v>1300</v>
      </c>
      <c r="E42" s="13" t="s">
        <v>202</v>
      </c>
      <c r="H42" s="2" t="str">
        <f t="shared" si="1"/>
        <v/>
      </c>
      <c r="U42" t="s">
        <v>120</v>
      </c>
    </row>
    <row r="43" spans="1:29" x14ac:dyDescent="0.45">
      <c r="B43" s="3" t="s">
        <v>245</v>
      </c>
      <c r="C43">
        <f t="shared" si="2"/>
        <v>1500</v>
      </c>
      <c r="E43" s="13" t="s">
        <v>202</v>
      </c>
      <c r="H43" s="2" t="str">
        <f t="shared" si="1"/>
        <v/>
      </c>
      <c r="U43" t="s">
        <v>121</v>
      </c>
    </row>
    <row r="44" spans="1:29" x14ac:dyDescent="0.45">
      <c r="A44" t="s">
        <v>309</v>
      </c>
      <c r="B44" s="3" t="s">
        <v>310</v>
      </c>
      <c r="C44" s="3">
        <f t="shared" si="2"/>
        <v>2000</v>
      </c>
      <c r="E44" s="12" t="s">
        <v>194</v>
      </c>
      <c r="H44" s="2" t="str">
        <f t="shared" si="1"/>
        <v/>
      </c>
      <c r="U44" t="s">
        <v>122</v>
      </c>
    </row>
    <row r="45" spans="1:29" x14ac:dyDescent="0.45">
      <c r="A45" t="s">
        <v>341</v>
      </c>
      <c r="B45" t="s">
        <v>342</v>
      </c>
      <c r="C45">
        <f t="shared" si="2"/>
        <v>2210</v>
      </c>
      <c r="E45" s="13" t="s">
        <v>335</v>
      </c>
      <c r="H45" s="2" t="str">
        <f t="shared" si="1"/>
        <v/>
      </c>
      <c r="U45" t="s">
        <v>123</v>
      </c>
    </row>
    <row r="46" spans="1:29" x14ac:dyDescent="0.45">
      <c r="B46" s="3" t="s">
        <v>192</v>
      </c>
      <c r="C46">
        <f t="shared" si="2"/>
        <v>3320</v>
      </c>
      <c r="E46" s="12" t="s">
        <v>194</v>
      </c>
      <c r="H46" s="2" t="str">
        <f t="shared" si="1"/>
        <v/>
      </c>
      <c r="U46" t="s">
        <v>124</v>
      </c>
    </row>
    <row r="47" spans="1:29" x14ac:dyDescent="0.45">
      <c r="B47" s="3" t="s">
        <v>192</v>
      </c>
      <c r="C47">
        <f t="shared" si="2"/>
        <v>3320</v>
      </c>
      <c r="E47" s="13" t="s">
        <v>202</v>
      </c>
      <c r="H47" s="2" t="str">
        <f t="shared" si="1"/>
        <v/>
      </c>
      <c r="U47" t="s">
        <v>125</v>
      </c>
    </row>
    <row r="48" spans="1:29" x14ac:dyDescent="0.45">
      <c r="B48" s="3" t="s">
        <v>244</v>
      </c>
      <c r="C48">
        <f t="shared" si="2"/>
        <v>3920</v>
      </c>
      <c r="E48" s="13" t="s">
        <v>202</v>
      </c>
      <c r="H48" s="2" t="str">
        <f t="shared" si="1"/>
        <v/>
      </c>
      <c r="U48" t="s">
        <v>126</v>
      </c>
    </row>
    <row r="49" spans="1:21" x14ac:dyDescent="0.45">
      <c r="A49" t="s">
        <v>300</v>
      </c>
      <c r="B49" s="3" t="s">
        <v>301</v>
      </c>
      <c r="C49" s="3">
        <f t="shared" si="2"/>
        <v>4750</v>
      </c>
      <c r="E49" s="12" t="s">
        <v>194</v>
      </c>
      <c r="H49" s="2" t="str">
        <f t="shared" si="1"/>
        <v/>
      </c>
      <c r="U49" t="s">
        <v>127</v>
      </c>
    </row>
    <row r="50" spans="1:21" x14ac:dyDescent="0.45">
      <c r="B50" s="3" t="s">
        <v>243</v>
      </c>
      <c r="C50">
        <f t="shared" si="2"/>
        <v>5000</v>
      </c>
      <c r="E50" s="13" t="s">
        <v>202</v>
      </c>
      <c r="H50" s="2" t="str">
        <f t="shared" si="1"/>
        <v/>
      </c>
      <c r="U50" t="s">
        <v>128</v>
      </c>
    </row>
    <row r="51" spans="1:21" x14ac:dyDescent="0.45">
      <c r="B51" s="3" t="s">
        <v>242</v>
      </c>
      <c r="C51">
        <f t="shared" si="2"/>
        <v>6650</v>
      </c>
      <c r="E51" s="13" t="s">
        <v>202</v>
      </c>
      <c r="H51" s="2" t="str">
        <f t="shared" si="1"/>
        <v/>
      </c>
      <c r="U51" t="s">
        <v>129</v>
      </c>
    </row>
    <row r="52" spans="1:21" x14ac:dyDescent="0.45">
      <c r="A52" t="s">
        <v>306</v>
      </c>
      <c r="B52" s="3" t="s">
        <v>307</v>
      </c>
      <c r="C52" s="3">
        <f t="shared" si="2"/>
        <v>7150</v>
      </c>
      <c r="E52" s="12" t="s">
        <v>194</v>
      </c>
      <c r="H52" s="2" t="str">
        <f t="shared" si="1"/>
        <v/>
      </c>
      <c r="U52" t="s">
        <v>130</v>
      </c>
    </row>
    <row r="53" spans="1:21" x14ac:dyDescent="0.45">
      <c r="A53" t="s">
        <v>308</v>
      </c>
      <c r="B53" s="3" t="s">
        <v>307</v>
      </c>
      <c r="C53" s="3">
        <f t="shared" si="2"/>
        <v>7150</v>
      </c>
      <c r="E53" s="12" t="s">
        <v>194</v>
      </c>
      <c r="H53" s="2" t="str">
        <f t="shared" si="1"/>
        <v/>
      </c>
      <c r="U53" t="s">
        <v>131</v>
      </c>
    </row>
    <row r="54" spans="1:21" x14ac:dyDescent="0.45">
      <c r="B54" s="3" t="s">
        <v>198</v>
      </c>
      <c r="C54">
        <f t="shared" si="2"/>
        <v>8060.0000000000009</v>
      </c>
      <c r="E54" s="13" t="s">
        <v>193</v>
      </c>
      <c r="H54" s="2" t="str">
        <f t="shared" si="1"/>
        <v/>
      </c>
      <c r="U54" t="s">
        <v>132</v>
      </c>
    </row>
    <row r="55" spans="1:21" x14ac:dyDescent="0.45">
      <c r="A55" t="s">
        <v>289</v>
      </c>
      <c r="B55" s="3" t="s">
        <v>290</v>
      </c>
      <c r="C55" s="3">
        <f t="shared" si="2"/>
        <v>8870</v>
      </c>
      <c r="E55" s="12" t="s">
        <v>220</v>
      </c>
      <c r="H55" s="2" t="str">
        <f t="shared" si="1"/>
        <v/>
      </c>
      <c r="U55" t="s">
        <v>133</v>
      </c>
    </row>
    <row r="56" spans="1:21" x14ac:dyDescent="0.45">
      <c r="B56" s="3" t="s">
        <v>241</v>
      </c>
      <c r="C56">
        <f t="shared" si="2"/>
        <v>12000</v>
      </c>
      <c r="E56" s="13" t="s">
        <v>196</v>
      </c>
      <c r="H56" s="2" t="str">
        <f t="shared" si="1"/>
        <v/>
      </c>
      <c r="U56" t="s">
        <v>134</v>
      </c>
    </row>
    <row r="57" spans="1:21" x14ac:dyDescent="0.45">
      <c r="A57" t="s">
        <v>302</v>
      </c>
      <c r="B57" s="3" t="s">
        <v>303</v>
      </c>
      <c r="C57" s="3">
        <f t="shared" si="2"/>
        <v>12100</v>
      </c>
      <c r="E57" s="12" t="s">
        <v>194</v>
      </c>
      <c r="H57" s="2" t="str">
        <f t="shared" si="1"/>
        <v/>
      </c>
      <c r="U57" t="s">
        <v>135</v>
      </c>
    </row>
    <row r="58" spans="1:21" x14ac:dyDescent="0.45">
      <c r="B58" s="3" t="s">
        <v>240</v>
      </c>
      <c r="C58">
        <f t="shared" si="2"/>
        <v>16900</v>
      </c>
      <c r="E58" s="13" t="s">
        <v>196</v>
      </c>
      <c r="H58" s="2" t="str">
        <f t="shared" si="1"/>
        <v/>
      </c>
      <c r="U58" t="s">
        <v>136</v>
      </c>
    </row>
    <row r="59" spans="1:21" x14ac:dyDescent="0.45">
      <c r="A59" t="s">
        <v>294</v>
      </c>
      <c r="B59" s="3" t="s">
        <v>295</v>
      </c>
      <c r="C59" s="3">
        <f t="shared" si="2"/>
        <v>17400</v>
      </c>
      <c r="E59" s="12" t="s">
        <v>194</v>
      </c>
      <c r="H59" s="2" t="str">
        <f t="shared" si="1"/>
        <v/>
      </c>
      <c r="U59" t="s">
        <v>137</v>
      </c>
    </row>
    <row r="60" spans="1:21" x14ac:dyDescent="0.45">
      <c r="A60" t="s">
        <v>311</v>
      </c>
      <c r="B60" s="3" t="s">
        <v>295</v>
      </c>
      <c r="C60" s="3">
        <f t="shared" si="2"/>
        <v>17400</v>
      </c>
      <c r="E60" s="12" t="s">
        <v>194</v>
      </c>
      <c r="H60" s="2" t="str">
        <f t="shared" si="1"/>
        <v/>
      </c>
      <c r="U60" t="s">
        <v>138</v>
      </c>
    </row>
    <row r="61" spans="1:21" x14ac:dyDescent="0.45">
      <c r="B61" s="3" t="s">
        <v>197</v>
      </c>
      <c r="C61">
        <f t="shared" si="2"/>
        <v>18000</v>
      </c>
      <c r="E61" s="13" t="s">
        <v>193</v>
      </c>
      <c r="H61" s="2" t="str">
        <f t="shared" si="1"/>
        <v/>
      </c>
      <c r="U61" t="s">
        <v>135</v>
      </c>
    </row>
    <row r="62" spans="1:21" x14ac:dyDescent="0.45">
      <c r="A62" t="s">
        <v>296</v>
      </c>
      <c r="B62" s="3" t="s">
        <v>297</v>
      </c>
      <c r="C62" s="3">
        <f t="shared" si="2"/>
        <v>20000</v>
      </c>
      <c r="E62" s="12" t="s">
        <v>194</v>
      </c>
      <c r="H62" s="2" t="str">
        <f t="shared" si="1"/>
        <v/>
      </c>
      <c r="U62" t="s">
        <v>139</v>
      </c>
    </row>
    <row r="63" spans="1:21" x14ac:dyDescent="0.45">
      <c r="A63" t="s">
        <v>325</v>
      </c>
      <c r="B63" t="s">
        <v>326</v>
      </c>
      <c r="C63">
        <f t="shared" si="2"/>
        <v>20000</v>
      </c>
      <c r="E63" s="13" t="s">
        <v>327</v>
      </c>
      <c r="H63" s="2" t="str">
        <f t="shared" si="1"/>
        <v/>
      </c>
      <c r="U63" t="s">
        <v>140</v>
      </c>
    </row>
    <row r="64" spans="1:21" x14ac:dyDescent="0.45">
      <c r="A64" t="s">
        <v>298</v>
      </c>
      <c r="B64" s="3" t="s">
        <v>299</v>
      </c>
      <c r="C64" s="3">
        <f t="shared" si="2"/>
        <v>27000</v>
      </c>
      <c r="E64" s="12" t="s">
        <v>194</v>
      </c>
      <c r="H64" s="2" t="str">
        <f t="shared" si="1"/>
        <v/>
      </c>
      <c r="U64" t="s">
        <v>141</v>
      </c>
    </row>
    <row r="65" spans="1:21" x14ac:dyDescent="0.45">
      <c r="A65" t="s">
        <v>304</v>
      </c>
      <c r="B65" s="3" t="s">
        <v>305</v>
      </c>
      <c r="C65" s="3">
        <f t="shared" si="2"/>
        <v>28000</v>
      </c>
      <c r="E65" s="12" t="s">
        <v>194</v>
      </c>
      <c r="H65" s="2" t="str">
        <f t="shared" si="1"/>
        <v/>
      </c>
      <c r="U65" t="s">
        <v>142</v>
      </c>
    </row>
    <row r="66" spans="1:21" x14ac:dyDescent="0.45">
      <c r="B66" s="3" t="s">
        <v>239</v>
      </c>
      <c r="C66">
        <f t="shared" si="2"/>
        <v>30000</v>
      </c>
      <c r="E66" s="13" t="s">
        <v>194</v>
      </c>
      <c r="H66" s="2" t="str">
        <f t="shared" si="1"/>
        <v/>
      </c>
      <c r="U66" t="s">
        <v>143</v>
      </c>
    </row>
    <row r="67" spans="1:21" x14ac:dyDescent="0.45">
      <c r="A67" t="s">
        <v>279</v>
      </c>
      <c r="B67" s="3" t="s">
        <v>280</v>
      </c>
      <c r="C67" s="3">
        <f t="shared" ref="C67:C98" si="3">IF(RIGHT(B67,1)="k", VALUE(LEFT(B67,LEN(B67)-1))*1000, VALUE(B67))</f>
        <v>30000</v>
      </c>
      <c r="E67" s="12" t="s">
        <v>194</v>
      </c>
      <c r="H67" s="2" t="str">
        <f t="shared" ref="H67:H106" si="4">IF(ISNUMBER(SEARCH("pF",G67)), VALUE(LEFT(G67,SEARCH("pF",G67)-1)),
 IF(ISNUMBER(SEARCH("nF",G67)), VALUE(LEFT(G67,SEARCH("nF",G67)-1))*1000,
 IF(ISNUMBER(SEARCH("uF",G67)), VALUE(LEFT(G67,SEARCH("uF",G67)-1))*1000000,"")))</f>
        <v/>
      </c>
      <c r="U67" t="s">
        <v>144</v>
      </c>
    </row>
    <row r="68" spans="1:21" x14ac:dyDescent="0.45">
      <c r="A68" t="s">
        <v>293</v>
      </c>
      <c r="B68" s="3" t="s">
        <v>280</v>
      </c>
      <c r="C68" s="3">
        <f t="shared" si="3"/>
        <v>30000</v>
      </c>
      <c r="E68" s="12" t="s">
        <v>194</v>
      </c>
      <c r="H68" s="2" t="str">
        <f t="shared" si="4"/>
        <v/>
      </c>
      <c r="U68" t="s">
        <v>145</v>
      </c>
    </row>
    <row r="69" spans="1:21" x14ac:dyDescent="0.45">
      <c r="A69" t="s">
        <v>312</v>
      </c>
      <c r="B69" s="3" t="s">
        <v>280</v>
      </c>
      <c r="C69" s="3">
        <f t="shared" si="3"/>
        <v>30000</v>
      </c>
      <c r="E69" s="12" t="s">
        <v>194</v>
      </c>
      <c r="H69" s="2" t="str">
        <f t="shared" si="4"/>
        <v/>
      </c>
      <c r="U69" t="s">
        <v>146</v>
      </c>
    </row>
    <row r="70" spans="1:21" x14ac:dyDescent="0.45">
      <c r="B70" s="3" t="s">
        <v>200</v>
      </c>
      <c r="C70">
        <f t="shared" si="3"/>
        <v>38300</v>
      </c>
      <c r="E70" s="13" t="s">
        <v>193</v>
      </c>
      <c r="H70" s="2" t="str">
        <f t="shared" si="4"/>
        <v/>
      </c>
      <c r="U70" t="s">
        <v>147</v>
      </c>
    </row>
    <row r="71" spans="1:21" x14ac:dyDescent="0.45">
      <c r="B71" s="3" t="s">
        <v>199</v>
      </c>
      <c r="C71">
        <f t="shared" si="3"/>
        <v>47000</v>
      </c>
      <c r="E71" s="13" t="s">
        <v>193</v>
      </c>
      <c r="H71" s="2" t="str">
        <f t="shared" si="4"/>
        <v/>
      </c>
      <c r="U71" t="s">
        <v>148</v>
      </c>
    </row>
    <row r="72" spans="1:21" x14ac:dyDescent="0.45">
      <c r="B72" s="3" t="s">
        <v>238</v>
      </c>
      <c r="C72">
        <f t="shared" si="3"/>
        <v>60400</v>
      </c>
      <c r="E72" s="13" t="s">
        <v>202</v>
      </c>
      <c r="H72" s="2" t="str">
        <f t="shared" si="4"/>
        <v/>
      </c>
      <c r="U72" t="s">
        <v>124</v>
      </c>
    </row>
    <row r="73" spans="1:21" x14ac:dyDescent="0.45">
      <c r="B73" s="3" t="s">
        <v>201</v>
      </c>
      <c r="C73">
        <f t="shared" si="3"/>
        <v>82000</v>
      </c>
      <c r="E73" s="13" t="s">
        <v>193</v>
      </c>
      <c r="H73" s="2" t="str">
        <f t="shared" si="4"/>
        <v/>
      </c>
      <c r="U73" t="s">
        <v>149</v>
      </c>
    </row>
    <row r="74" spans="1:21" x14ac:dyDescent="0.45">
      <c r="A74" t="s">
        <v>314</v>
      </c>
      <c r="B74" s="3" t="s">
        <v>315</v>
      </c>
      <c r="C74" s="3">
        <f t="shared" si="3"/>
        <v>88700</v>
      </c>
      <c r="H74" s="2" t="str">
        <f t="shared" si="4"/>
        <v/>
      </c>
      <c r="U74" t="s">
        <v>150</v>
      </c>
    </row>
    <row r="75" spans="1:21" x14ac:dyDescent="0.45">
      <c r="A75" t="s">
        <v>287</v>
      </c>
      <c r="B75" s="3" t="s">
        <v>288</v>
      </c>
      <c r="C75" s="3">
        <f t="shared" si="3"/>
        <v>102000</v>
      </c>
      <c r="E75" s="12" t="s">
        <v>194</v>
      </c>
      <c r="H75" s="2" t="str">
        <f t="shared" si="4"/>
        <v/>
      </c>
      <c r="U75" t="s">
        <v>151</v>
      </c>
    </row>
    <row r="76" spans="1:21" x14ac:dyDescent="0.45">
      <c r="A76" t="s">
        <v>313</v>
      </c>
      <c r="B76" s="3" t="s">
        <v>288</v>
      </c>
      <c r="C76" s="3">
        <f t="shared" si="3"/>
        <v>102000</v>
      </c>
      <c r="E76" s="12" t="s">
        <v>194</v>
      </c>
      <c r="H76" s="2" t="str">
        <f t="shared" si="4"/>
        <v/>
      </c>
      <c r="U76" t="s">
        <v>152</v>
      </c>
    </row>
    <row r="77" spans="1:21" x14ac:dyDescent="0.45">
      <c r="A77" t="s">
        <v>285</v>
      </c>
      <c r="B77" s="3" t="s">
        <v>286</v>
      </c>
      <c r="C77" s="3">
        <f t="shared" si="3"/>
        <v>120000</v>
      </c>
      <c r="E77" s="12" t="s">
        <v>194</v>
      </c>
      <c r="H77" s="2" t="str">
        <f t="shared" si="4"/>
        <v/>
      </c>
      <c r="U77" t="s">
        <v>153</v>
      </c>
    </row>
    <row r="78" spans="1:21" x14ac:dyDescent="0.45">
      <c r="A78" t="s">
        <v>332</v>
      </c>
      <c r="B78" t="s">
        <v>333</v>
      </c>
      <c r="C78">
        <f t="shared" si="3"/>
        <v>140000</v>
      </c>
      <c r="E78" s="13" t="s">
        <v>317</v>
      </c>
      <c r="H78" s="2" t="str">
        <f t="shared" si="4"/>
        <v/>
      </c>
    </row>
    <row r="79" spans="1:21" x14ac:dyDescent="0.45">
      <c r="A79" t="s">
        <v>283</v>
      </c>
      <c r="B79" s="3" t="s">
        <v>284</v>
      </c>
      <c r="C79" s="3">
        <f t="shared" si="3"/>
        <v>150000</v>
      </c>
      <c r="E79" s="12" t="s">
        <v>194</v>
      </c>
      <c r="H79" s="2" t="str">
        <f t="shared" si="4"/>
        <v/>
      </c>
    </row>
    <row r="80" spans="1:21" x14ac:dyDescent="0.45">
      <c r="A80" t="s">
        <v>328</v>
      </c>
      <c r="B80" t="s">
        <v>329</v>
      </c>
      <c r="C80">
        <f t="shared" si="3"/>
        <v>180000</v>
      </c>
      <c r="E80" s="13" t="s">
        <v>317</v>
      </c>
      <c r="H80" s="2" t="str">
        <f t="shared" si="4"/>
        <v/>
      </c>
    </row>
    <row r="81" spans="1:35" x14ac:dyDescent="0.45">
      <c r="B81" s="3" t="s">
        <v>237</v>
      </c>
      <c r="C81">
        <f t="shared" si="3"/>
        <v>191000</v>
      </c>
      <c r="E81" s="13" t="s">
        <v>202</v>
      </c>
      <c r="H81" s="2" t="str">
        <f t="shared" si="4"/>
        <v/>
      </c>
    </row>
    <row r="82" spans="1:35" x14ac:dyDescent="0.45">
      <c r="B82" s="3" t="s">
        <v>236</v>
      </c>
      <c r="C82">
        <f t="shared" si="3"/>
        <v>200000</v>
      </c>
      <c r="E82" s="13" t="s">
        <v>196</v>
      </c>
      <c r="H82" s="2" t="str">
        <f t="shared" si="4"/>
        <v/>
      </c>
      <c r="M82" s="20" t="s">
        <v>273</v>
      </c>
      <c r="N82" s="20"/>
      <c r="O82" s="20"/>
    </row>
    <row r="83" spans="1:35" x14ac:dyDescent="0.45">
      <c r="A83" t="s">
        <v>330</v>
      </c>
      <c r="B83" t="s">
        <v>331</v>
      </c>
      <c r="C83">
        <f t="shared" si="3"/>
        <v>249000</v>
      </c>
      <c r="E83" s="13" t="s">
        <v>317</v>
      </c>
      <c r="H83" s="2" t="str">
        <f t="shared" si="4"/>
        <v/>
      </c>
      <c r="M83" s="20"/>
      <c r="N83" s="20"/>
      <c r="O83" s="20"/>
    </row>
    <row r="84" spans="1:35" x14ac:dyDescent="0.45">
      <c r="B84" s="3" t="s">
        <v>235</v>
      </c>
      <c r="C84">
        <f t="shared" si="3"/>
        <v>250000</v>
      </c>
      <c r="E84" s="13" t="s">
        <v>196</v>
      </c>
      <c r="H84" s="2" t="str">
        <f t="shared" si="4"/>
        <v/>
      </c>
      <c r="M84" s="20"/>
      <c r="N84" s="20"/>
      <c r="O84" s="20"/>
      <c r="AD84" s="1" t="s">
        <v>403</v>
      </c>
      <c r="AH84" s="1" t="s">
        <v>429</v>
      </c>
    </row>
    <row r="85" spans="1:35" x14ac:dyDescent="0.45">
      <c r="A85" t="s">
        <v>275</v>
      </c>
      <c r="B85" s="3" t="s">
        <v>234</v>
      </c>
      <c r="C85">
        <f>IF(RIGHT(B85,1)="K",VALUE(LEFT(B85,LEN(B85)-1))*1000,VALUE(B85))</f>
        <v>634000</v>
      </c>
      <c r="E85" s="13" t="s">
        <v>196</v>
      </c>
      <c r="H85" s="2" t="str">
        <f t="shared" si="4"/>
        <v/>
      </c>
      <c r="M85" s="20"/>
      <c r="N85" s="20"/>
      <c r="O85" s="20"/>
      <c r="AD85" s="1" t="s">
        <v>428</v>
      </c>
      <c r="AE85" t="s">
        <v>425</v>
      </c>
      <c r="AF85" t="s">
        <v>426</v>
      </c>
      <c r="AG85" t="s">
        <v>427</v>
      </c>
      <c r="AH85" s="1" t="s">
        <v>428</v>
      </c>
      <c r="AI85" s="1"/>
    </row>
    <row r="86" spans="1:35" s="21" customFormat="1" x14ac:dyDescent="0.45">
      <c r="A86" s="21" t="s">
        <v>346</v>
      </c>
      <c r="B86" s="21">
        <v>0</v>
      </c>
      <c r="C86" s="21">
        <f t="shared" ref="C86:C100" si="5">IF(RIGHT(B86,1)="K",VALUE(LEFT(B86,LEN(B86)-1))*1000,VALUE(B86))</f>
        <v>0</v>
      </c>
      <c r="E86" s="22" t="s">
        <v>194</v>
      </c>
      <c r="F86" s="21" t="s">
        <v>368</v>
      </c>
      <c r="G86" s="21" t="s">
        <v>369</v>
      </c>
      <c r="H86" s="23">
        <f t="shared" si="4"/>
        <v>100</v>
      </c>
      <c r="I86" s="21">
        <v>5</v>
      </c>
      <c r="J86" s="24" t="s">
        <v>194</v>
      </c>
      <c r="M86" s="20"/>
      <c r="N86" s="20"/>
      <c r="O86" s="20"/>
      <c r="AD86" s="21" t="s">
        <v>404</v>
      </c>
      <c r="AE86" s="21" t="s">
        <v>405</v>
      </c>
      <c r="AH86" s="21" t="s">
        <v>430</v>
      </c>
    </row>
    <row r="87" spans="1:35" s="21" customFormat="1" x14ac:dyDescent="0.45">
      <c r="A87" s="21" t="s">
        <v>347</v>
      </c>
      <c r="B87" s="21">
        <v>91</v>
      </c>
      <c r="C87" s="21">
        <f t="shared" si="5"/>
        <v>91</v>
      </c>
      <c r="E87" s="22" t="s">
        <v>194</v>
      </c>
      <c r="F87" s="21" t="s">
        <v>370</v>
      </c>
      <c r="G87" s="21" t="s">
        <v>371</v>
      </c>
      <c r="H87" s="23">
        <f t="shared" si="4"/>
        <v>4.7</v>
      </c>
      <c r="I87" s="23">
        <v>250</v>
      </c>
      <c r="J87" s="25" t="s">
        <v>194</v>
      </c>
      <c r="AD87" s="21" t="s">
        <v>413</v>
      </c>
      <c r="AE87" s="21" t="s">
        <v>414</v>
      </c>
      <c r="AF87" s="21" t="s">
        <v>415</v>
      </c>
      <c r="AG87" s="21">
        <v>1206</v>
      </c>
      <c r="AH87" s="21" t="s">
        <v>431</v>
      </c>
    </row>
    <row r="88" spans="1:35" s="21" customFormat="1" x14ac:dyDescent="0.45">
      <c r="A88" s="21" t="s">
        <v>348</v>
      </c>
      <c r="B88" s="21">
        <v>165</v>
      </c>
      <c r="C88" s="21">
        <f t="shared" si="5"/>
        <v>165</v>
      </c>
      <c r="E88" s="26">
        <v>1206</v>
      </c>
      <c r="F88" s="21" t="s">
        <v>372</v>
      </c>
      <c r="G88" s="21" t="s">
        <v>373</v>
      </c>
      <c r="H88" s="23">
        <f t="shared" si="4"/>
        <v>4700000</v>
      </c>
      <c r="I88" s="21">
        <v>10</v>
      </c>
      <c r="J88" s="24" t="s">
        <v>194</v>
      </c>
      <c r="AD88" s="21" t="s">
        <v>416</v>
      </c>
      <c r="AE88" s="21" t="s">
        <v>417</v>
      </c>
      <c r="AF88" s="21" t="s">
        <v>418</v>
      </c>
      <c r="AG88" s="21">
        <v>1206</v>
      </c>
      <c r="AH88" s="21" t="s">
        <v>432</v>
      </c>
    </row>
    <row r="89" spans="1:35" s="21" customFormat="1" x14ac:dyDescent="0.45">
      <c r="A89" s="21" t="s">
        <v>349</v>
      </c>
      <c r="B89" s="21">
        <v>0</v>
      </c>
      <c r="C89" s="21">
        <f t="shared" si="5"/>
        <v>0</v>
      </c>
      <c r="E89" s="26"/>
      <c r="F89" s="21" t="s">
        <v>374</v>
      </c>
      <c r="G89" s="21" t="s">
        <v>375</v>
      </c>
      <c r="H89" s="23">
        <f t="shared" si="4"/>
        <v>2200000</v>
      </c>
      <c r="I89" s="21">
        <v>6.3</v>
      </c>
      <c r="J89" s="24" t="s">
        <v>194</v>
      </c>
      <c r="AD89" s="21" t="s">
        <v>419</v>
      </c>
      <c r="AE89" s="21" t="s">
        <v>417</v>
      </c>
      <c r="AF89" s="21" t="s">
        <v>415</v>
      </c>
      <c r="AG89" s="21">
        <v>1206</v>
      </c>
      <c r="AH89" s="21" t="s">
        <v>433</v>
      </c>
    </row>
    <row r="90" spans="1:35" s="21" customFormat="1" x14ac:dyDescent="0.45">
      <c r="A90" s="21" t="s">
        <v>350</v>
      </c>
      <c r="B90" s="21" t="s">
        <v>360</v>
      </c>
      <c r="C90" s="21">
        <f t="shared" si="5"/>
        <v>1620</v>
      </c>
      <c r="E90" s="22" t="s">
        <v>194</v>
      </c>
      <c r="F90" s="21" t="s">
        <v>376</v>
      </c>
      <c r="G90" s="21" t="s">
        <v>375</v>
      </c>
      <c r="H90" s="23">
        <f t="shared" si="4"/>
        <v>2200000</v>
      </c>
      <c r="I90" s="21">
        <v>10</v>
      </c>
      <c r="J90" s="24" t="s">
        <v>194</v>
      </c>
      <c r="AD90" s="21" t="s">
        <v>420</v>
      </c>
      <c r="AE90" s="21" t="s">
        <v>421</v>
      </c>
      <c r="AF90" s="21" t="s">
        <v>415</v>
      </c>
      <c r="AG90" s="21">
        <v>1206</v>
      </c>
      <c r="AH90" s="21" t="s">
        <v>434</v>
      </c>
    </row>
    <row r="91" spans="1:35" s="21" customFormat="1" x14ac:dyDescent="0.45">
      <c r="A91" s="21" t="s">
        <v>351</v>
      </c>
      <c r="B91" s="21" t="s">
        <v>352</v>
      </c>
      <c r="C91" s="21" t="e">
        <f t="shared" si="5"/>
        <v>#VALUE!</v>
      </c>
      <c r="E91" s="22" t="s">
        <v>194</v>
      </c>
      <c r="F91" s="21" t="s">
        <v>377</v>
      </c>
      <c r="G91" s="21" t="s">
        <v>378</v>
      </c>
      <c r="H91" s="23">
        <f t="shared" si="4"/>
        <v>68</v>
      </c>
      <c r="I91" s="21">
        <v>50</v>
      </c>
      <c r="J91" s="24" t="s">
        <v>194</v>
      </c>
      <c r="AH91" s="21" t="s">
        <v>435</v>
      </c>
    </row>
    <row r="92" spans="1:35" s="21" customFormat="1" x14ac:dyDescent="0.45">
      <c r="A92" s="21" t="s">
        <v>353</v>
      </c>
      <c r="B92" s="21">
        <v>287</v>
      </c>
      <c r="C92" s="21">
        <f t="shared" si="5"/>
        <v>287</v>
      </c>
      <c r="E92" s="22" t="s">
        <v>193</v>
      </c>
      <c r="F92" s="21" t="s">
        <v>379</v>
      </c>
      <c r="G92" s="21" t="s">
        <v>380</v>
      </c>
      <c r="H92" s="23">
        <f t="shared" si="4"/>
        <v>6.8</v>
      </c>
      <c r="I92" s="21">
        <v>250</v>
      </c>
      <c r="J92" s="24" t="s">
        <v>194</v>
      </c>
      <c r="AH92" s="21" t="s">
        <v>432</v>
      </c>
    </row>
    <row r="93" spans="1:35" s="21" customFormat="1" x14ac:dyDescent="0.45">
      <c r="A93" s="21" t="s">
        <v>354</v>
      </c>
      <c r="B93" s="21">
        <v>43.2</v>
      </c>
      <c r="C93" s="21">
        <f t="shared" si="5"/>
        <v>43.2</v>
      </c>
      <c r="E93" s="22" t="s">
        <v>220</v>
      </c>
      <c r="F93" s="21" t="s">
        <v>381</v>
      </c>
      <c r="G93" s="21" t="s">
        <v>382</v>
      </c>
      <c r="H93" s="23">
        <f t="shared" si="4"/>
        <v>100000</v>
      </c>
      <c r="I93" s="21">
        <v>50</v>
      </c>
      <c r="J93" s="24" t="s">
        <v>194</v>
      </c>
      <c r="AH93" s="21" t="s">
        <v>436</v>
      </c>
    </row>
    <row r="94" spans="1:35" s="21" customFormat="1" x14ac:dyDescent="0.45">
      <c r="A94" s="21" t="s">
        <v>355</v>
      </c>
      <c r="B94" s="21">
        <v>3.9</v>
      </c>
      <c r="C94" s="21">
        <f t="shared" si="5"/>
        <v>3.9</v>
      </c>
      <c r="E94" s="22" t="s">
        <v>220</v>
      </c>
      <c r="F94" s="21" t="s">
        <v>383</v>
      </c>
      <c r="G94" s="21" t="s">
        <v>384</v>
      </c>
      <c r="H94" s="23">
        <f t="shared" si="4"/>
        <v>56</v>
      </c>
      <c r="I94" s="21">
        <v>50</v>
      </c>
      <c r="J94" s="24" t="s">
        <v>194</v>
      </c>
      <c r="AH94" s="21" t="s">
        <v>437</v>
      </c>
    </row>
    <row r="95" spans="1:35" s="21" customFormat="1" x14ac:dyDescent="0.45">
      <c r="A95" s="21" t="s">
        <v>356</v>
      </c>
      <c r="B95" s="21" t="s">
        <v>361</v>
      </c>
      <c r="C95" s="21">
        <f t="shared" si="5"/>
        <v>41200</v>
      </c>
      <c r="E95" s="22" t="s">
        <v>194</v>
      </c>
      <c r="F95" s="21" t="s">
        <v>385</v>
      </c>
      <c r="G95" s="21" t="s">
        <v>386</v>
      </c>
      <c r="H95" s="23">
        <f t="shared" si="4"/>
        <v>5.6</v>
      </c>
      <c r="I95" s="21">
        <v>50</v>
      </c>
      <c r="J95" s="24" t="s">
        <v>194</v>
      </c>
      <c r="AH95" s="21" t="s">
        <v>430</v>
      </c>
    </row>
    <row r="96" spans="1:35" s="21" customFormat="1" x14ac:dyDescent="0.45">
      <c r="A96" s="21" t="s">
        <v>357</v>
      </c>
      <c r="B96" s="21">
        <v>243</v>
      </c>
      <c r="C96" s="21">
        <f t="shared" si="5"/>
        <v>243</v>
      </c>
      <c r="E96" s="26">
        <v>1206</v>
      </c>
      <c r="F96" s="21" t="s">
        <v>387</v>
      </c>
      <c r="G96" s="21" t="s">
        <v>388</v>
      </c>
      <c r="H96" s="23">
        <f t="shared" si="4"/>
        <v>47</v>
      </c>
      <c r="I96" s="21">
        <v>50</v>
      </c>
      <c r="J96" s="24" t="s">
        <v>194</v>
      </c>
      <c r="AH96" s="21" t="s">
        <v>438</v>
      </c>
    </row>
    <row r="97" spans="1:34" s="21" customFormat="1" x14ac:dyDescent="0.45">
      <c r="A97" s="21" t="s">
        <v>358</v>
      </c>
      <c r="B97" s="21">
        <v>47</v>
      </c>
      <c r="C97" s="21">
        <f t="shared" si="5"/>
        <v>47</v>
      </c>
      <c r="E97" s="26">
        <v>1206</v>
      </c>
      <c r="F97" s="21" t="s">
        <v>389</v>
      </c>
      <c r="G97" s="21" t="s">
        <v>378</v>
      </c>
      <c r="H97" s="23">
        <f t="shared" si="4"/>
        <v>68</v>
      </c>
      <c r="I97" s="21">
        <v>50</v>
      </c>
      <c r="J97" s="24" t="s">
        <v>194</v>
      </c>
      <c r="AH97" s="21" t="s">
        <v>430</v>
      </c>
    </row>
    <row r="98" spans="1:34" s="21" customFormat="1" x14ac:dyDescent="0.45">
      <c r="A98" s="21" t="s">
        <v>359</v>
      </c>
      <c r="B98" s="21" t="s">
        <v>362</v>
      </c>
      <c r="C98" s="21">
        <f t="shared" si="5"/>
        <v>62000</v>
      </c>
      <c r="E98" s="22" t="s">
        <v>194</v>
      </c>
      <c r="F98" s="21" t="s">
        <v>390</v>
      </c>
      <c r="G98" s="21" t="s">
        <v>391</v>
      </c>
      <c r="H98" s="23">
        <f t="shared" si="4"/>
        <v>500</v>
      </c>
      <c r="I98" s="24">
        <v>50</v>
      </c>
      <c r="J98" s="24" t="s">
        <v>194</v>
      </c>
      <c r="AH98" s="21" t="s">
        <v>439</v>
      </c>
    </row>
    <row r="99" spans="1:34" s="21" customFormat="1" x14ac:dyDescent="0.45">
      <c r="A99" s="21" t="s">
        <v>363</v>
      </c>
      <c r="B99" s="21">
        <v>470</v>
      </c>
      <c r="C99" s="21">
        <f t="shared" si="5"/>
        <v>470</v>
      </c>
      <c r="E99" s="26">
        <v>1206</v>
      </c>
      <c r="F99" s="21" t="s">
        <v>392</v>
      </c>
      <c r="G99" s="21" t="s">
        <v>393</v>
      </c>
      <c r="H99" s="23">
        <f t="shared" si="4"/>
        <v>10000000</v>
      </c>
      <c r="I99" s="21">
        <v>6.3</v>
      </c>
      <c r="J99" s="24" t="s">
        <v>194</v>
      </c>
    </row>
    <row r="100" spans="1:34" s="21" customFormat="1" x14ac:dyDescent="0.45">
      <c r="A100" s="21" t="s">
        <v>364</v>
      </c>
      <c r="B100" s="21" t="s">
        <v>365</v>
      </c>
      <c r="C100" s="21">
        <f t="shared" si="5"/>
        <v>2870</v>
      </c>
      <c r="E100" s="22" t="s">
        <v>193</v>
      </c>
      <c r="F100" s="21" t="s">
        <v>394</v>
      </c>
      <c r="G100" s="21" t="s">
        <v>229</v>
      </c>
      <c r="H100" s="23">
        <f t="shared" si="4"/>
        <v>10000</v>
      </c>
      <c r="I100" s="21">
        <v>25</v>
      </c>
      <c r="J100" s="24" t="s">
        <v>194</v>
      </c>
    </row>
    <row r="101" spans="1:34" s="21" customFormat="1" x14ac:dyDescent="0.45">
      <c r="A101" s="21" t="s">
        <v>366</v>
      </c>
      <c r="B101" s="21" t="s">
        <v>367</v>
      </c>
      <c r="C101" s="21">
        <f>IF(RIGHT(B101,1)="K",VALUE(LEFT(B101,LEN(B101)-1))*1000,VALUE(B101))</f>
        <v>4990</v>
      </c>
      <c r="E101" s="22" t="s">
        <v>193</v>
      </c>
      <c r="F101" s="21" t="s">
        <v>368</v>
      </c>
      <c r="G101" s="21" t="s">
        <v>395</v>
      </c>
      <c r="H101" s="23">
        <f t="shared" si="4"/>
        <v>100</v>
      </c>
      <c r="I101" s="21">
        <v>50</v>
      </c>
      <c r="J101" s="24" t="s">
        <v>194</v>
      </c>
    </row>
    <row r="102" spans="1:34" s="21" customFormat="1" x14ac:dyDescent="0.45">
      <c r="A102" s="21" t="s">
        <v>406</v>
      </c>
      <c r="B102" s="21" t="s">
        <v>248</v>
      </c>
      <c r="C102" s="21">
        <f>IF(RIGHT(B102,1)="K",VALUE(LEFT(B102,LEN(B102)-1))*1000,VALUE(B102))</f>
        <v>1000</v>
      </c>
      <c r="E102" s="26">
        <v>1206</v>
      </c>
      <c r="F102" s="21" t="s">
        <v>396</v>
      </c>
      <c r="G102" s="21" t="s">
        <v>397</v>
      </c>
      <c r="H102" s="23">
        <f t="shared" si="4"/>
        <v>0.3</v>
      </c>
      <c r="I102" s="21">
        <v>250</v>
      </c>
      <c r="J102" s="24" t="s">
        <v>194</v>
      </c>
    </row>
    <row r="103" spans="1:34" s="21" customFormat="1" x14ac:dyDescent="0.45">
      <c r="A103" s="21" t="s">
        <v>409</v>
      </c>
      <c r="B103" s="21">
        <v>10</v>
      </c>
      <c r="C103" s="21">
        <f t="shared" ref="C103:C108" si="6">IF(RIGHT(B103,1)="K",VALUE(LEFT(B103,LEN(B103)-1))*1000,VALUE(B103))</f>
        <v>10</v>
      </c>
      <c r="E103" s="22" t="s">
        <v>194</v>
      </c>
      <c r="F103" s="21" t="s">
        <v>398</v>
      </c>
      <c r="G103" s="21" t="s">
        <v>399</v>
      </c>
      <c r="H103" s="23">
        <f t="shared" si="4"/>
        <v>0.9</v>
      </c>
      <c r="I103" s="21">
        <v>250</v>
      </c>
      <c r="J103" s="24" t="s">
        <v>194</v>
      </c>
    </row>
    <row r="104" spans="1:34" s="21" customFormat="1" x14ac:dyDescent="0.45">
      <c r="A104" s="21" t="s">
        <v>410</v>
      </c>
      <c r="B104" s="21">
        <v>60.4</v>
      </c>
      <c r="C104" s="21">
        <f t="shared" si="6"/>
        <v>60.4</v>
      </c>
      <c r="E104" s="26">
        <v>1206</v>
      </c>
      <c r="F104" s="21" t="s">
        <v>400</v>
      </c>
      <c r="G104" s="21" t="s">
        <v>401</v>
      </c>
      <c r="H104" s="23">
        <f t="shared" si="4"/>
        <v>0.2</v>
      </c>
      <c r="I104" s="21">
        <v>250</v>
      </c>
      <c r="J104" s="24" t="s">
        <v>194</v>
      </c>
    </row>
    <row r="105" spans="1:34" s="21" customFormat="1" x14ac:dyDescent="0.45">
      <c r="A105" s="21" t="s">
        <v>411</v>
      </c>
      <c r="B105" s="21" t="s">
        <v>412</v>
      </c>
      <c r="C105" s="21">
        <f t="shared" si="6"/>
        <v>2000</v>
      </c>
      <c r="E105" s="22" t="s">
        <v>194</v>
      </c>
      <c r="F105" s="21" t="s">
        <v>402</v>
      </c>
      <c r="G105" s="21" t="s">
        <v>386</v>
      </c>
      <c r="H105" s="23">
        <f t="shared" si="4"/>
        <v>5.6</v>
      </c>
      <c r="I105" s="21">
        <v>250</v>
      </c>
      <c r="J105" s="24" t="s">
        <v>194</v>
      </c>
    </row>
    <row r="106" spans="1:34" s="21" customFormat="1" x14ac:dyDescent="0.45">
      <c r="A106" s="21" t="s">
        <v>422</v>
      </c>
      <c r="B106" s="21" t="s">
        <v>248</v>
      </c>
      <c r="C106" s="21">
        <f t="shared" si="6"/>
        <v>1000</v>
      </c>
      <c r="E106" s="22" t="s">
        <v>193</v>
      </c>
      <c r="F106" s="21" t="s">
        <v>407</v>
      </c>
      <c r="G106" s="21" t="s">
        <v>408</v>
      </c>
      <c r="H106" s="27">
        <f t="shared" si="4"/>
        <v>1000</v>
      </c>
      <c r="I106" s="21">
        <v>50</v>
      </c>
      <c r="J106" s="24" t="s">
        <v>193</v>
      </c>
    </row>
    <row r="107" spans="1:34" s="21" customFormat="1" x14ac:dyDescent="0.45">
      <c r="A107" s="21" t="s">
        <v>423</v>
      </c>
      <c r="B107" s="21">
        <v>100</v>
      </c>
      <c r="C107" s="21">
        <f t="shared" si="6"/>
        <v>100</v>
      </c>
      <c r="E107" s="26">
        <v>1206</v>
      </c>
    </row>
    <row r="108" spans="1:34" s="21" customFormat="1" x14ac:dyDescent="0.45">
      <c r="A108" s="21" t="s">
        <v>424</v>
      </c>
      <c r="B108" s="21" t="s">
        <v>236</v>
      </c>
      <c r="C108" s="21">
        <f t="shared" si="6"/>
        <v>200000</v>
      </c>
      <c r="E108" s="22" t="s">
        <v>194</v>
      </c>
    </row>
  </sheetData>
  <sortState xmlns:xlrd2="http://schemas.microsoft.com/office/spreadsheetml/2017/richdata2" ref="A3:E85">
    <sortCondition ref="C3:C85"/>
  </sortState>
  <mergeCells count="5">
    <mergeCell ref="A1:E1"/>
    <mergeCell ref="F1:J1"/>
    <mergeCell ref="K1:N1"/>
    <mergeCell ref="P1:Q1"/>
    <mergeCell ref="M82:O8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_0201</vt:lpstr>
      <vt:lpstr>Sheet1!daass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Alex W</cp:lastModifiedBy>
  <dcterms:created xsi:type="dcterms:W3CDTF">2025-11-14T18:05:50Z</dcterms:created>
  <dcterms:modified xsi:type="dcterms:W3CDTF">2025-12-10T21:13:40Z</dcterms:modified>
</cp:coreProperties>
</file>