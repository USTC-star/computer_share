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co\Downloads\"/>
    </mc:Choice>
  </mc:AlternateContent>
  <xr:revisionPtr revIDLastSave="0" documentId="13_ncr:1_{5F9A349E-FCD4-4EC0-BA75-502F92BE373F}" xr6:coauthVersionLast="47" xr6:coauthVersionMax="47" xr10:uidLastSave="{00000000-0000-0000-0000-000000000000}"/>
  <bookViews>
    <workbookView xWindow="-120" yWindow="-120" windowWidth="29040" windowHeight="15720" xr2:uid="{4EF1B334-B9A4-468B-ADB9-1CC422E31F4C}"/>
  </bookViews>
  <sheets>
    <sheet name="Sheet1" sheetId="1" r:id="rId1"/>
  </sheets>
  <definedNames>
    <definedName name="_0201">Sheet1!$K$3</definedName>
    <definedName name="_xlnm._FilterDatabase" localSheetId="0" hidden="1">Sheet1!$A$3:$E$85</definedName>
    <definedName name="daass" comment="sdas" localSheetId="0">Sheet1!$K$3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17" i="1"/>
  <c r="H4" i="1"/>
  <c r="H7" i="1"/>
  <c r="H5" i="1"/>
  <c r="H36" i="1"/>
  <c r="H47" i="1"/>
  <c r="H68" i="1"/>
  <c r="H38" i="1"/>
  <c r="H31" i="1"/>
  <c r="H28" i="1"/>
  <c r="H16" i="1"/>
  <c r="H29" i="1"/>
  <c r="H51" i="1"/>
  <c r="H18" i="1"/>
  <c r="H30" i="1"/>
  <c r="H60" i="1"/>
  <c r="H59" i="1"/>
  <c r="H62" i="1"/>
  <c r="H15" i="1"/>
  <c r="H35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1" i="1" l="1"/>
  <c r="C112" i="1"/>
  <c r="C113" i="1"/>
  <c r="C114" i="1"/>
  <c r="C115" i="1"/>
  <c r="H75" i="1"/>
  <c r="H73" i="1"/>
  <c r="H66" i="1"/>
  <c r="H21" i="1"/>
  <c r="H69" i="1"/>
  <c r="H39" i="1"/>
  <c r="H44" i="1"/>
  <c r="H3" i="1"/>
  <c r="H37" i="1"/>
  <c r="H55" i="1"/>
  <c r="H27" i="1"/>
  <c r="H78" i="1"/>
  <c r="H67" i="1"/>
  <c r="H10" i="1"/>
  <c r="H76" i="1"/>
  <c r="H72" i="1"/>
  <c r="H79" i="1"/>
  <c r="H77" i="1"/>
  <c r="H74" i="1"/>
  <c r="H71" i="1"/>
  <c r="H14" i="1"/>
  <c r="H50" i="1"/>
  <c r="H33" i="1"/>
  <c r="H6" i="1"/>
  <c r="H11" i="1"/>
  <c r="H13" i="1"/>
  <c r="H34" i="1"/>
  <c r="H61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87" i="1"/>
  <c r="C88" i="1"/>
  <c r="C89" i="1"/>
  <c r="C86" i="1"/>
  <c r="C6" i="1" l="1"/>
  <c r="C19" i="1"/>
  <c r="C45" i="1"/>
  <c r="C27" i="1"/>
  <c r="C20" i="1"/>
  <c r="C26" i="1"/>
  <c r="C8" i="1"/>
  <c r="C7" i="1"/>
  <c r="C24" i="1"/>
  <c r="C78" i="1"/>
  <c r="C83" i="1"/>
  <c r="C80" i="1"/>
  <c r="C63" i="1"/>
  <c r="C5" i="1"/>
  <c r="C23" i="1"/>
  <c r="C30" i="1"/>
  <c r="C34" i="1"/>
  <c r="C28" i="1"/>
  <c r="C10" i="1"/>
  <c r="C14" i="1"/>
  <c r="C18" i="1"/>
  <c r="C74" i="1" l="1"/>
  <c r="C76" i="1"/>
  <c r="C69" i="1"/>
  <c r="C60" i="1"/>
  <c r="C44" i="1"/>
  <c r="C53" i="1"/>
  <c r="C52" i="1"/>
  <c r="C65" i="1"/>
  <c r="C57" i="1"/>
  <c r="C49" i="1"/>
  <c r="C64" i="1"/>
  <c r="C62" i="1"/>
  <c r="C59" i="1"/>
  <c r="C67" i="1"/>
  <c r="C29" i="1"/>
  <c r="C16" i="1"/>
  <c r="C79" i="1"/>
  <c r="C77" i="1"/>
  <c r="C75" i="1"/>
  <c r="C55" i="1"/>
  <c r="C31" i="1"/>
  <c r="C25" i="1"/>
  <c r="C68" i="1"/>
  <c r="C33" i="1"/>
  <c r="C35" i="1"/>
  <c r="C17" i="1"/>
  <c r="C85" i="1" l="1"/>
  <c r="C84" i="1"/>
  <c r="C81" i="1"/>
  <c r="C4" i="1"/>
  <c r="H8" i="1"/>
  <c r="H40" i="1" l="1"/>
  <c r="C40" i="1"/>
  <c r="C41" i="1"/>
  <c r="C42" i="1"/>
  <c r="C39" i="1"/>
  <c r="C38" i="1"/>
  <c r="C37" i="1"/>
  <c r="C36" i="1"/>
  <c r="C32" i="1"/>
  <c r="C22" i="1"/>
  <c r="C21" i="1"/>
  <c r="C15" i="1"/>
  <c r="C13" i="1"/>
  <c r="C12" i="1"/>
  <c r="C11" i="1"/>
  <c r="C9" i="1"/>
  <c r="C3" i="1"/>
  <c r="C54" i="1"/>
  <c r="C51" i="1"/>
  <c r="C50" i="1"/>
  <c r="C48" i="1"/>
  <c r="C46" i="1"/>
  <c r="C47" i="1"/>
  <c r="C43" i="1"/>
  <c r="C82" i="1"/>
  <c r="C73" i="1"/>
  <c r="C72" i="1"/>
  <c r="C71" i="1"/>
  <c r="C70" i="1"/>
  <c r="C66" i="1"/>
  <c r="C61" i="1"/>
  <c r="C58" i="1"/>
  <c r="C56" i="1"/>
  <c r="H64" i="1"/>
  <c r="H56" i="1"/>
  <c r="H48" i="1"/>
  <c r="H45" i="1"/>
  <c r="H80" i="1"/>
  <c r="H84" i="1"/>
  <c r="H83" i="1"/>
  <c r="H81" i="1"/>
  <c r="H32" i="1"/>
  <c r="H22" i="1"/>
  <c r="H23" i="1"/>
  <c r="H19" i="1"/>
  <c r="H12" i="1"/>
  <c r="H20" i="1"/>
  <c r="H25" i="1"/>
  <c r="H53" i="1"/>
  <c r="H41" i="1"/>
  <c r="H70" i="1"/>
  <c r="H24" i="1"/>
  <c r="H26" i="1"/>
  <c r="H46" i="1"/>
  <c r="H57" i="1"/>
  <c r="H54" i="1"/>
  <c r="H65" i="1"/>
  <c r="H9" i="1"/>
  <c r="H58" i="1"/>
  <c r="H49" i="1"/>
  <c r="H42" i="1"/>
  <c r="H82" i="1"/>
  <c r="H63" i="1"/>
  <c r="H52" i="1"/>
</calcChain>
</file>

<file path=xl/sharedStrings.xml><?xml version="1.0" encoding="utf-8"?>
<sst xmlns="http://schemas.openxmlformats.org/spreadsheetml/2006/main" count="836" uniqueCount="573">
  <si>
    <t>capacitors</t>
  </si>
  <si>
    <t>amps</t>
  </si>
  <si>
    <t>connectors</t>
  </si>
  <si>
    <t>misc</t>
  </si>
  <si>
    <t>10 uF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</si>
  <si>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</si>
  <si>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</si>
  <si>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</si>
  <si>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</si>
  <si>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</si>
  <si>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</si>
  <si>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</si>
  <si>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Cables</t>
  </si>
  <si>
    <t>0.5mm FFC</t>
  </si>
  <si>
    <t>binder clip</t>
  </si>
  <si>
    <t>220 uF</t>
  </si>
  <si>
    <t>470 uF</t>
  </si>
  <si>
    <t>330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</si>
  <si>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</si>
  <si>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</si>
  <si>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</si>
  <si>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</si>
  <si>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</si>
  <si>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</si>
  <si>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</si>
  <si>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</si>
  <si>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</si>
  <si>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</si>
  <si>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</si>
  <si>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</si>
  <si>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</si>
  <si>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</si>
  <si>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</si>
  <si>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</si>
  <si>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</si>
  <si>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</si>
  <si>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</si>
  <si>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</si>
  <si>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</si>
  <si>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</si>
  <si>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</si>
  <si>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</si>
  <si>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</si>
  <si>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</si>
  <si>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other Chips</t>
  </si>
  <si>
    <t>Freq Mixer</t>
  </si>
  <si>
    <t>SIM -14+</t>
  </si>
  <si>
    <t>SIM-123+</t>
  </si>
  <si>
    <t>SIM-73L+</t>
  </si>
  <si>
    <t>SIM-83+</t>
  </si>
  <si>
    <t>SIM-83LH+</t>
  </si>
  <si>
    <t>SIM-14+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</si>
  <si>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</si>
  <si>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</si>
  <si>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</si>
  <si>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</si>
  <si>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</si>
  <si>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</si>
  <si>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</si>
  <si>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</si>
  <si>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</si>
  <si>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</si>
  <si>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</si>
  <si>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</si>
  <si>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</si>
  <si>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</si>
  <si>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</si>
  <si>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</si>
  <si>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</si>
  <si>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</si>
  <si>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</si>
  <si>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</si>
  <si>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</si>
  <si>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</si>
  <si>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</si>
  <si>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</si>
  <si>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</si>
  <si>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</si>
  <si>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</si>
  <si>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</si>
  <si>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</si>
  <si>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</si>
  <si>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</si>
  <si>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</si>
  <si>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</si>
  <si>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</si>
  <si>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</si>
  <si>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0.1 uf</t>
  </si>
  <si>
    <t>TGA 4705-FC</t>
  </si>
  <si>
    <t>HMC773LC3B</t>
  </si>
  <si>
    <t>77GHz ,Triquint,LNA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</si>
  <si>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</si>
  <si>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</si>
  <si>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</si>
  <si>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</si>
  <si>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</si>
  <si>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</si>
  <si>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</si>
  <si>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</si>
  <si>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</si>
  <si>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</si>
  <si>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</si>
  <si>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</si>
  <si>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</si>
  <si>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</si>
  <si>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</si>
  <si>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</si>
  <si>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</si>
  <si>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</si>
  <si>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</si>
  <si>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</si>
  <si>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</si>
  <si>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</si>
  <si>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</si>
  <si>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</si>
  <si>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</si>
  <si>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</si>
  <si>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</si>
  <si>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</si>
  <si>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</si>
  <si>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</si>
  <si>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</si>
  <si>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</si>
  <si>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</si>
  <si>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</si>
  <si>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</si>
  <si>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</si>
  <si>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</si>
  <si>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</si>
  <si>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</si>
  <si>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</si>
  <si>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</si>
  <si>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</si>
  <si>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</si>
  <si>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</si>
  <si>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</si>
  <si>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</si>
  <si>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</si>
  <si>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</si>
  <si>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</si>
  <si>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</si>
  <si>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</si>
  <si>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</si>
  <si>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</si>
  <si>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</si>
  <si>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</si>
  <si>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</si>
  <si>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</si>
  <si>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</si>
  <si>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</si>
  <si>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</si>
  <si>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</si>
  <si>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</si>
  <si>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</si>
  <si>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</si>
  <si>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</si>
  <si>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</si>
  <si>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</si>
  <si>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</si>
  <si>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</si>
  <si>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</si>
  <si>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</si>
  <si>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</si>
  <si>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</si>
  <si>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435MS8GE</t>
  </si>
  <si>
    <t>HMC736LP4E,14.5-15.0GHZ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</si>
  <si>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</si>
  <si>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</si>
  <si>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</si>
  <si>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</si>
  <si>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</si>
  <si>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</si>
  <si>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</si>
  <si>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</si>
  <si>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</si>
  <si>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</si>
  <si>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</si>
  <si>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HMC506LP4E,7.8-8.7GHZ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</si>
  <si>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</si>
  <si>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</si>
  <si>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</si>
  <si>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</si>
  <si>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</si>
  <si>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</si>
  <si>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</si>
  <si>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</si>
  <si>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</si>
  <si>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</si>
  <si>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</si>
  <si>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</si>
  <si>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</si>
  <si>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3.32k</t>
  </si>
  <si>
    <t>0402</t>
  </si>
  <si>
    <t>0603</t>
  </si>
  <si>
    <t>1.05k</t>
  </si>
  <si>
    <t xml:space="preserve"> 0402</t>
  </si>
  <si>
    <t>18k</t>
  </si>
  <si>
    <t>8.06k</t>
  </si>
  <si>
    <t>47k</t>
  </si>
  <si>
    <t>38.3k</t>
  </si>
  <si>
    <t>82k</t>
  </si>
  <si>
    <t xml:space="preserve"> 0603</t>
  </si>
  <si>
    <t>1206</t>
  </si>
  <si>
    <t xml:space="preserve"> 1206</t>
  </si>
  <si>
    <t>value</t>
  </si>
  <si>
    <t xml:space="preserve">1000 pF </t>
  </si>
  <si>
    <t>0201</t>
  </si>
  <si>
    <t xml:space="preserve">1 pF </t>
  </si>
  <si>
    <t xml:space="preserve">10 uF </t>
  </si>
  <si>
    <t xml:space="preserve">1 uF </t>
  </si>
  <si>
    <t xml:space="preserve">2.2 uF </t>
  </si>
  <si>
    <t xml:space="preserve">0.1 uF </t>
  </si>
  <si>
    <t xml:space="preserve">10000 pF </t>
  </si>
  <si>
    <t xml:space="preserve">220 uF </t>
  </si>
  <si>
    <t>2824</t>
  </si>
  <si>
    <t xml:space="preserve">11 pf </t>
  </si>
  <si>
    <t xml:space="preserve">13 pf </t>
  </si>
  <si>
    <t xml:space="preserve">8.2 pf </t>
  </si>
  <si>
    <t xml:space="preserve">2.2 pf </t>
  </si>
  <si>
    <t>0805</t>
  </si>
  <si>
    <t xml:space="preserve">10 pf </t>
  </si>
  <si>
    <t xml:space="preserve">22pf </t>
  </si>
  <si>
    <t xml:space="preserve">1 uf </t>
  </si>
  <si>
    <t xml:space="preserve">1000 pf </t>
  </si>
  <si>
    <t>2312</t>
  </si>
  <si>
    <t xml:space="preserve">16 uf </t>
  </si>
  <si>
    <t xml:space="preserve">20 pf </t>
  </si>
  <si>
    <t>1608</t>
  </si>
  <si>
    <t xml:space="preserve">10000pf </t>
  </si>
  <si>
    <t xml:space="preserve">2.2 uf </t>
  </si>
  <si>
    <t>T495E227KO16ATE100</t>
  </si>
  <si>
    <t>220uf</t>
  </si>
  <si>
    <t>16V</t>
  </si>
  <si>
    <t>634k</t>
  </si>
  <si>
    <t>250k</t>
  </si>
  <si>
    <t>200k</t>
  </si>
  <si>
    <t>191k</t>
  </si>
  <si>
    <t>60.4k</t>
  </si>
  <si>
    <t>30k</t>
  </si>
  <si>
    <t>16.9k</t>
  </si>
  <si>
    <t>12k</t>
  </si>
  <si>
    <t>6.65k</t>
  </si>
  <si>
    <t>5k</t>
  </si>
  <si>
    <t>3.92k</t>
  </si>
  <si>
    <t>1.5k</t>
  </si>
  <si>
    <t>1.3k</t>
  </si>
  <si>
    <t>1.2k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</si>
  <si>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</si>
  <si>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</si>
  <si>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</si>
  <si>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</si>
  <si>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</si>
  <si>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</si>
  <si>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</si>
  <si>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</si>
  <si>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</si>
  <si>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</si>
  <si>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</si>
  <si>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</si>
  <si>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</si>
  <si>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</si>
  <si>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</si>
  <si>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</si>
  <si>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</si>
  <si>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</si>
  <si>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</si>
  <si>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</si>
  <si>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</si>
  <si>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</si>
  <si>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</si>
  <si>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</si>
  <si>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</si>
  <si>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etc</t>
  </si>
  <si>
    <t xml:space="preserve">   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</si>
  <si>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</si>
  <si>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</si>
  <si>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</si>
  <si>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</si>
  <si>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</si>
  <si>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</si>
  <si>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</si>
  <si>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</si>
  <si>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</si>
  <si>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</si>
  <si>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</si>
  <si>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</si>
  <si>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</si>
  <si>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</si>
  <si>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</si>
  <si>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</si>
  <si>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</si>
  <si>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</si>
  <si>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</si>
  <si>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</si>
  <si>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</si>
  <si>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</si>
  <si>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</si>
  <si>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</si>
  <si>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</si>
  <si>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</si>
  <si>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</si>
  <si>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</si>
  <si>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</si>
  <si>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</si>
  <si>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</si>
  <si>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</si>
  <si>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</si>
  <si>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</si>
  <si>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</si>
  <si>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</si>
  <si>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</si>
  <si>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</si>
  <si>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</si>
  <si>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</si>
  <si>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</si>
  <si>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</si>
  <si>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</si>
  <si>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</si>
  <si>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</si>
  <si>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</si>
  <si>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</si>
  <si>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</si>
  <si>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ERJ-3GEY0R00V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</si>
  <si>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</si>
  <si>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</si>
  <si>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</si>
  <si>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</si>
  <si>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</si>
  <si>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</si>
  <si>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</si>
  <si>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</si>
  <si>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</si>
  <si>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</si>
  <si>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</si>
  <si>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</si>
  <si>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</si>
  <si>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</si>
  <si>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</si>
  <si>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</si>
  <si>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</si>
  <si>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</si>
  <si>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</si>
  <si>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</si>
  <si>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</si>
  <si>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</si>
  <si>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</si>
  <si>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</si>
  <si>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</si>
  <si>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</si>
  <si>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</si>
  <si>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</si>
  <si>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</si>
  <si>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</si>
  <si>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</si>
  <si>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</si>
  <si>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</si>
  <si>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</si>
  <si>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</si>
  <si>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</si>
  <si>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</si>
  <si>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</si>
  <si>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</si>
  <si>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</si>
  <si>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</si>
  <si>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</si>
  <si>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</si>
  <si>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</si>
  <si>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</si>
  <si>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</si>
  <si>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</si>
  <si>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25V</t>
  </si>
  <si>
    <t>ECD-G0ER909</t>
  </si>
  <si>
    <t>0.90PF</t>
  </si>
  <si>
    <t>ECD-G0E1R8B</t>
  </si>
  <si>
    <t>1.8PF</t>
  </si>
  <si>
    <t>B37923K5030B960</t>
  </si>
  <si>
    <t>3.9PF</t>
  </si>
  <si>
    <t>50V</t>
  </si>
  <si>
    <t>CRM1555C1H101JA01D</t>
  </si>
  <si>
    <t>100PF</t>
  </si>
  <si>
    <t>CRM155R60J475ME47D</t>
  </si>
  <si>
    <t>4.7UF</t>
  </si>
  <si>
    <t>6.3V</t>
  </si>
  <si>
    <t>0402YC104MAT2A</t>
  </si>
  <si>
    <t>0.1UF</t>
  </si>
  <si>
    <t>251R14S4R7CV4T</t>
  </si>
  <si>
    <t>4.7PF</t>
  </si>
  <si>
    <t>250V</t>
  </si>
  <si>
    <t>CC120MKX5R7BB226</t>
  </si>
  <si>
    <t>22UF</t>
  </si>
  <si>
    <t>C3216X5R1C336M</t>
  </si>
  <si>
    <t>33UF</t>
  </si>
  <si>
    <t>GRM32ER61E226KE15L</t>
  </si>
  <si>
    <t>TAJW107K006RNJ</t>
  </si>
  <si>
    <t>100UF</t>
  </si>
  <si>
    <t>TMK325B7226KMHP</t>
  </si>
  <si>
    <t>C3216X5R1E476M160AC</t>
  </si>
  <si>
    <t>47UF</t>
  </si>
  <si>
    <t>EEE-FC0J220R</t>
  </si>
  <si>
    <t>GMK316F106ZL-T</t>
  </si>
  <si>
    <t>10UF</t>
  </si>
  <si>
    <t>35V</t>
  </si>
  <si>
    <t>30V</t>
  </si>
  <si>
    <t>GRM21BC81C226ME44L</t>
  </si>
  <si>
    <t>08055A100JAT2A</t>
  </si>
  <si>
    <t>10PF</t>
  </si>
  <si>
    <t>C2012X5R1V156M125AC</t>
  </si>
  <si>
    <t>15UF</t>
  </si>
  <si>
    <t>C0805C821J5GACTU</t>
  </si>
  <si>
    <t>820PF</t>
  </si>
  <si>
    <t>GRM2165C1H332JA01D</t>
  </si>
  <si>
    <t>3300PF</t>
  </si>
  <si>
    <t>SQCAEM0R1BAJME</t>
  </si>
  <si>
    <t>0.1PF</t>
  </si>
  <si>
    <t>150V</t>
  </si>
  <si>
    <t>0605</t>
  </si>
  <si>
    <t>MCU0805PD2002DP500</t>
  </si>
  <si>
    <t>CR0805-FX-8451ELF</t>
  </si>
  <si>
    <t>8.45K</t>
  </si>
  <si>
    <t>CR0603-FX-8451ELF</t>
  </si>
  <si>
    <t>CRCW080556R2FKEA</t>
  </si>
  <si>
    <t>ECJ-2VC1H391J</t>
  </si>
  <si>
    <t>390pf</t>
  </si>
  <si>
    <t>50v</t>
  </si>
  <si>
    <t>C0805C105K4RACTU</t>
  </si>
  <si>
    <t>1.0UF</t>
  </si>
  <si>
    <t>ECJ-2VC1H270J</t>
  </si>
  <si>
    <t>27PF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</si>
  <si>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</si>
  <si>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</si>
  <si>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</si>
  <si>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</si>
  <si>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</si>
  <si>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</si>
  <si>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</si>
  <si>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</si>
  <si>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</si>
  <si>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</si>
  <si>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</si>
  <si>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</si>
  <si>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</si>
  <si>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</si>
  <si>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</si>
  <si>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</si>
  <si>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</si>
  <si>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</si>
  <si>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</si>
  <si>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</si>
  <si>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</si>
  <si>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</si>
  <si>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</si>
  <si>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</si>
  <si>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</si>
  <si>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</si>
  <si>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/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</si>
  <si>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</si>
  <si>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</si>
  <si>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</si>
  <si>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</si>
  <si>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</si>
  <si>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</si>
  <si>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</si>
  <si>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</si>
  <si>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1PF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</si>
  <si>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</si>
  <si>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</si>
  <si>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</si>
  <si>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</si>
  <si>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</si>
  <si>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</si>
  <si>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</si>
  <si>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1M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</si>
  <si>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</si>
  <si>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</si>
  <si>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</si>
  <si>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</si>
  <si>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</si>
  <si>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</si>
  <si>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</si>
  <si>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</si>
  <si>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</si>
  <si>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</si>
  <si>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</si>
  <si>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</si>
  <si>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</si>
  <si>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</si>
  <si>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</si>
  <si>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</si>
  <si>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</si>
  <si>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</si>
  <si>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</si>
  <si>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</si>
  <si>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</si>
  <si>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</si>
  <si>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</si>
  <si>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100pf</t>
  </si>
  <si>
    <t>251R14S4R7BV4T</t>
  </si>
  <si>
    <t>4.7pf</t>
  </si>
  <si>
    <t>CL10A475KP8NNNC</t>
  </si>
  <si>
    <t>4.7uF</t>
  </si>
  <si>
    <t>GRM188R60J225KE19D</t>
  </si>
  <si>
    <t>2.2uF</t>
  </si>
  <si>
    <t>LMK107BJ225KA-T</t>
  </si>
  <si>
    <t>CC0603JRNP09BN680</t>
  </si>
  <si>
    <t>68pF</t>
  </si>
  <si>
    <t>251R14S6R8CV4T</t>
  </si>
  <si>
    <t>6.8pF</t>
  </si>
  <si>
    <t>GRM188R71H104KA93D</t>
  </si>
  <si>
    <t>0.1uF</t>
  </si>
  <si>
    <t>C0603C560J5GACTU</t>
  </si>
  <si>
    <t>56pF</t>
  </si>
  <si>
    <t>C0603C569D5GACTM</t>
  </si>
  <si>
    <t>5.6pF</t>
  </si>
  <si>
    <t>0603N470F500CT</t>
  </si>
  <si>
    <t>47pF</t>
  </si>
  <si>
    <t>0603N680F500CT</t>
  </si>
  <si>
    <t>CC0603KRX7R9BB501</t>
  </si>
  <si>
    <t>500pF</t>
  </si>
  <si>
    <t>C16088X5ROJ106K080AB</t>
  </si>
  <si>
    <t>10uF</t>
  </si>
  <si>
    <t>ECJ-1VB1E103K</t>
  </si>
  <si>
    <t>251R14S0R3BV4T</t>
  </si>
  <si>
    <t>0.3pF</t>
  </si>
  <si>
    <t>251R14S0R9BV4T</t>
  </si>
  <si>
    <t>0.9pF</t>
  </si>
  <si>
    <t>251R14SOR2AV4T</t>
  </si>
  <si>
    <t>0.2pF</t>
  </si>
  <si>
    <t>251R14S5R6CV4T</t>
  </si>
  <si>
    <t>GRM155R71H102KA01D</t>
  </si>
  <si>
    <t>1000pF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</si>
  <si>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</si>
  <si>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</si>
  <si>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</si>
  <si>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</si>
  <si>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</si>
  <si>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</si>
  <si>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</si>
  <si>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</si>
  <si>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</si>
  <si>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</si>
  <si>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</si>
  <si>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</si>
  <si>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</si>
  <si>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</si>
  <si>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</si>
  <si>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</si>
  <si>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</si>
  <si>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</si>
  <si>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</si>
  <si>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  <phoneticPr fontId="3" type="noConversion"/>
  </si>
  <si>
    <t>LQW18AN2N2D00D</t>
    <phoneticPr fontId="3" type="noConversion"/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</si>
  <si>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</si>
  <si>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</si>
  <si>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</si>
  <si>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</si>
  <si>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</si>
  <si>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</si>
  <si>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</si>
  <si>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max CURRENT (A)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</si>
  <si>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</si>
  <si>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</si>
  <si>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</si>
  <si>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</si>
  <si>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</si>
  <si>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</si>
  <si>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MPI404R1-R15-R</t>
    <phoneticPr fontId="3" type="noConversion"/>
  </si>
  <si>
    <t>SRN6045-220M</t>
    <phoneticPr fontId="3" type="noConversion"/>
  </si>
  <si>
    <t>220 UH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</si>
  <si>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</si>
  <si>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</si>
  <si>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</si>
  <si>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10UH</t>
    <phoneticPr fontId="3" type="noConversion"/>
  </si>
  <si>
    <t>S1812-103K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</si>
</sst>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0" fillId="0" borderId="0" xfId="0" quotePrefix="1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quotePrefix="1" applyNumberFormat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vertical="top"/>
    </xf>
    <xf numFmtId="0" fontId="2" fillId="0" borderId="0" xfId="0" quotePrefix="1" applyFont="1"/>
    <xf numFmtId="0" fontId="1" fillId="2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5" borderId="0" xfId="0" applyFont="1" applyFill="1"/>
    <xf numFmtId="0" fontId="1" fillId="9" borderId="0" xfId="0" applyFont="1" applyFill="1"/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AI138"/>
  <sheetViews>
    <sheetView tabSelected="1" topLeftCell="F1" zoomScale="120" zoomScaleNormal="145" workbookViewId="0">
      <selection activeCell="K24" sqref="K24"/>
    </sheetView>
  </sheetViews>
  <sheetFormatPr defaultRowHeight="15.75" x14ac:dyDescent="0.25"/>
  <cols>
    <col min="1" max="1" width="27.7109375" customWidth="1"/>
    <col min="2" max="2" width="13.7109375" customWidth="1"/>
    <col min="3" max="4" width="10.5703125" customWidth="1"/>
    <col min="5" max="5" width="19.7109375" style="13" customWidth="1"/>
    <col min="6" max="6" width="21.140625" customWidth="1"/>
    <col min="7" max="7" width="10.85546875" customWidth="1"/>
    <col min="8" max="8" width="13.42578125" customWidth="1"/>
    <col min="9" max="9" width="12.85546875" customWidth="1"/>
    <col min="10" max="13" width="18.7109375" customWidth="1"/>
    <col min="14" max="14" width="15.7109375" customWidth="1"/>
    <col min="15" max="15" width="20.42578125" customWidth="1"/>
    <col min="16" max="16" width="14.85546875" customWidth="1"/>
    <col min="17" max="17" width="27.140625" customWidth="1"/>
    <col min="18" max="20" width="15.42578125" customWidth="1"/>
    <col min="21" max="21" width="19.42578125" customWidth="1"/>
    <col min="22" max="24" width="33.140625" customWidth="1"/>
    <col min="25" max="28" width="49.85546875" customWidth="1"/>
    <col min="29" max="29" width="32.42578125" customWidth="1"/>
    <col min="30" max="30" width="33.5703125" customWidth="1"/>
    <col min="31" max="31" width="18.85546875" customWidth="1"/>
    <col min="35" max="35" width="20" customWidth="1"/>
  </cols>
  <sheetData>
    <row r="1" spans="1:35" x14ac:dyDescent="0.25">
      <c r="A1" s="25" t="s">
        <v>82</v>
      </c>
      <c r="B1" s="25"/>
      <c r="C1" s="25"/>
      <c r="D1" s="25"/>
      <c r="E1" s="25"/>
      <c r="F1" s="26" t="s">
        <v>0</v>
      </c>
      <c r="G1" s="26"/>
      <c r="H1" s="26"/>
      <c r="I1" s="26"/>
      <c r="J1" s="26"/>
      <c r="K1" s="27" t="s">
        <v>549</v>
      </c>
      <c r="L1" s="27"/>
      <c r="M1" s="27"/>
      <c r="N1" s="27"/>
      <c r="O1" s="19" t="s">
        <v>1</v>
      </c>
      <c r="P1" s="24" t="s">
        <v>2</v>
      </c>
      <c r="Q1" s="24"/>
      <c r="R1" s="18" t="s">
        <v>12</v>
      </c>
      <c r="S1" s="23" t="s">
        <v>83</v>
      </c>
      <c r="T1" s="20" t="s">
        <v>45</v>
      </c>
      <c r="U1" s="19" t="s">
        <v>459</v>
      </c>
      <c r="V1" s="22" t="s">
        <v>25</v>
      </c>
      <c r="W1" s="18" t="s">
        <v>58</v>
      </c>
      <c r="X1" s="23" t="s">
        <v>56</v>
      </c>
      <c r="Y1" s="20" t="s">
        <v>44</v>
      </c>
      <c r="Z1" s="22" t="s">
        <v>77</v>
      </c>
      <c r="AA1" s="18" t="s">
        <v>37</v>
      </c>
      <c r="AB1" s="21" t="s">
        <v>69</v>
      </c>
      <c r="AC1" s="20" t="s">
        <v>3</v>
      </c>
      <c r="AD1" s="19" t="s">
        <v>153</v>
      </c>
      <c r="AE1" s="24" t="s">
        <v>430</v>
      </c>
      <c r="AF1" s="24"/>
      <c r="AG1" s="24"/>
      <c r="AH1" s="24"/>
      <c r="AI1" s="18" t="s">
        <v>538</v>
      </c>
    </row>
    <row r="2" spans="1:35" x14ac:dyDescent="0.25">
      <c r="A2" t="s">
        <v>187</v>
      </c>
      <c r="B2" t="s">
        <v>188</v>
      </c>
      <c r="C2" s="2" t="s">
        <v>248</v>
      </c>
      <c r="D2" t="s">
        <v>190</v>
      </c>
      <c r="E2" s="10" t="s">
        <v>189</v>
      </c>
      <c r="F2" s="1" t="s">
        <v>187</v>
      </c>
      <c r="G2" s="1" t="s">
        <v>204</v>
      </c>
      <c r="H2" s="9" t="s">
        <v>253</v>
      </c>
      <c r="I2" s="1" t="s">
        <v>190</v>
      </c>
      <c r="J2" s="1" t="s">
        <v>189</v>
      </c>
      <c r="K2" t="s">
        <v>187</v>
      </c>
      <c r="L2" t="s">
        <v>249</v>
      </c>
      <c r="M2" t="s">
        <v>558</v>
      </c>
      <c r="N2" s="1" t="s">
        <v>189</v>
      </c>
      <c r="O2" t="s">
        <v>5</v>
      </c>
      <c r="P2" t="s">
        <v>187</v>
      </c>
      <c r="Q2" t="s">
        <v>252</v>
      </c>
      <c r="R2" t="s">
        <v>13</v>
      </c>
      <c r="S2" t="s">
        <v>84</v>
      </c>
      <c r="T2" t="s">
        <v>46</v>
      </c>
      <c r="U2" t="s">
        <v>460</v>
      </c>
      <c r="V2" t="s">
        <v>26</v>
      </c>
      <c r="W2" t="s">
        <v>59</v>
      </c>
      <c r="X2" t="s">
        <v>57</v>
      </c>
      <c r="Y2" t="s">
        <v>43</v>
      </c>
      <c r="Z2" t="s">
        <v>78</v>
      </c>
      <c r="AA2" t="s">
        <v>67</v>
      </c>
      <c r="AB2" t="s">
        <v>70</v>
      </c>
      <c r="AC2" t="s">
        <v>9</v>
      </c>
      <c r="AD2" t="s">
        <v>154</v>
      </c>
      <c r="AE2" t="s">
        <v>431</v>
      </c>
      <c r="AF2" t="s">
        <v>432</v>
      </c>
      <c r="AG2" t="s">
        <v>433</v>
      </c>
      <c r="AH2" t="s">
        <v>434</v>
      </c>
      <c r="AI2" t="s">
        <v>539</v>
      </c>
    </row>
    <row r="3" spans="1:35" x14ac:dyDescent="0.25">
      <c r="B3" s="2">
        <v>0</v>
      </c>
      <c r="C3">
        <f t="shared" ref="C3:C34" si="0">IF(RIGHT(B3,1)="k", VALUE(LEFT(B3,LEN(B3)-1))*1000, VALUE(B3))</f>
        <v>0</v>
      </c>
      <c r="E3" s="11" t="s">
        <v>192</v>
      </c>
      <c r="F3" s="5"/>
      <c r="G3" s="5" t="s">
        <v>413</v>
      </c>
      <c r="H3" s="1">
        <f t="shared" ref="H3:H34" si="1">IF(ISNUMBER(SEARCH("pF",G3)), VALUE(LEFT(G3,SEARCH("pF",G3)-1)),
 IF(ISNUMBER(SEARCH("nF",G3)), VALUE(LEFT(G3,SEARCH("nF",G3)-1))*1000,
 IF(ISNUMBER(SEARCH("uF",G3)), VALUE(LEFT(G3,SEARCH("uF",G3)-1))*1000000,"")))</f>
        <v>0.1</v>
      </c>
      <c r="I3" s="5" t="s">
        <v>414</v>
      </c>
      <c r="J3" s="15" t="s">
        <v>415</v>
      </c>
      <c r="K3" s="3"/>
      <c r="L3" s="3" t="s">
        <v>250</v>
      </c>
      <c r="M3" s="3"/>
      <c r="N3" s="3" t="s">
        <v>193</v>
      </c>
      <c r="O3" t="s">
        <v>60</v>
      </c>
      <c r="Q3" t="s">
        <v>6</v>
      </c>
      <c r="R3" t="s">
        <v>75</v>
      </c>
      <c r="S3" t="s">
        <v>85</v>
      </c>
      <c r="T3" t="s">
        <v>47</v>
      </c>
      <c r="V3" t="s">
        <v>27</v>
      </c>
      <c r="Y3" t="s">
        <v>42</v>
      </c>
      <c r="AA3" t="s">
        <v>57</v>
      </c>
      <c r="AB3" t="s">
        <v>71</v>
      </c>
      <c r="AC3" t="s">
        <v>10</v>
      </c>
      <c r="AD3" t="s">
        <v>155</v>
      </c>
      <c r="AE3" t="s">
        <v>429</v>
      </c>
      <c r="AF3" t="s">
        <v>435</v>
      </c>
      <c r="AG3" t="s">
        <v>436</v>
      </c>
      <c r="AH3" s="3" t="s">
        <v>202</v>
      </c>
      <c r="AI3" t="s">
        <v>540</v>
      </c>
    </row>
    <row r="4" spans="1:35" x14ac:dyDescent="0.25">
      <c r="B4" s="2">
        <v>0</v>
      </c>
      <c r="C4">
        <f t="shared" si="0"/>
        <v>0</v>
      </c>
      <c r="E4" s="12" t="s">
        <v>201</v>
      </c>
      <c r="F4" s="5"/>
      <c r="G4" t="s">
        <v>526</v>
      </c>
      <c r="H4" s="1">
        <f t="shared" si="1"/>
        <v>0.2</v>
      </c>
      <c r="I4">
        <v>250</v>
      </c>
      <c r="J4" s="3" t="s">
        <v>193</v>
      </c>
      <c r="K4" s="3"/>
      <c r="L4" s="3" t="s">
        <v>251</v>
      </c>
      <c r="M4" s="3"/>
      <c r="N4" s="3" t="s">
        <v>193</v>
      </c>
      <c r="O4" t="s">
        <v>72</v>
      </c>
      <c r="Q4" t="s">
        <v>7</v>
      </c>
      <c r="T4" t="s">
        <v>48</v>
      </c>
      <c r="V4" t="s">
        <v>28</v>
      </c>
      <c r="Y4" t="s">
        <v>88</v>
      </c>
      <c r="AC4" t="s">
        <v>11</v>
      </c>
      <c r="AD4" t="s">
        <v>156</v>
      </c>
      <c r="AE4" t="s">
        <v>437</v>
      </c>
      <c r="AF4" t="s">
        <v>438</v>
      </c>
      <c r="AG4" t="s">
        <v>439</v>
      </c>
      <c r="AH4" s="3" t="s">
        <v>202</v>
      </c>
      <c r="AI4" t="s">
        <v>541</v>
      </c>
    </row>
    <row r="5" spans="1:35" x14ac:dyDescent="0.25">
      <c r="A5" t="s">
        <v>322</v>
      </c>
      <c r="B5" s="2"/>
      <c r="C5">
        <f t="shared" si="0"/>
        <v>0</v>
      </c>
      <c r="E5" s="12" t="s">
        <v>315</v>
      </c>
      <c r="F5" s="5"/>
      <c r="G5" t="s">
        <v>522</v>
      </c>
      <c r="H5" s="1">
        <f t="shared" si="1"/>
        <v>0.3</v>
      </c>
      <c r="I5">
        <v>250</v>
      </c>
      <c r="J5" s="3" t="s">
        <v>193</v>
      </c>
      <c r="K5" s="3" t="s">
        <v>550</v>
      </c>
      <c r="L5" s="3">
        <v>2.2000000000000002</v>
      </c>
      <c r="M5" s="3">
        <v>0.7</v>
      </c>
      <c r="N5" s="3" t="s">
        <v>193</v>
      </c>
      <c r="O5" t="s">
        <v>90</v>
      </c>
      <c r="Q5" t="s">
        <v>8</v>
      </c>
      <c r="T5" t="s">
        <v>49</v>
      </c>
      <c r="V5" t="s">
        <v>29</v>
      </c>
      <c r="AC5" t="s">
        <v>14</v>
      </c>
      <c r="AD5" t="s">
        <v>157</v>
      </c>
      <c r="AE5" t="s">
        <v>442</v>
      </c>
      <c r="AF5" t="s">
        <v>443</v>
      </c>
      <c r="AG5" t="s">
        <v>436</v>
      </c>
      <c r="AH5" s="3" t="s">
        <v>202</v>
      </c>
      <c r="AI5" t="s">
        <v>542</v>
      </c>
    </row>
    <row r="6" spans="1:35" x14ac:dyDescent="0.25">
      <c r="A6" t="s">
        <v>342</v>
      </c>
      <c r="B6">
        <v>0</v>
      </c>
      <c r="C6">
        <f t="shared" si="0"/>
        <v>0</v>
      </c>
      <c r="E6" s="11" t="s">
        <v>343</v>
      </c>
      <c r="F6" s="5"/>
      <c r="G6" s="5" t="s">
        <v>372</v>
      </c>
      <c r="H6" s="1">
        <f t="shared" si="1"/>
        <v>0.9</v>
      </c>
      <c r="I6" s="5" t="s">
        <v>370</v>
      </c>
      <c r="J6" s="15" t="s">
        <v>192</v>
      </c>
      <c r="K6" s="15" t="s">
        <v>551</v>
      </c>
      <c r="L6" s="3">
        <v>2.2000000000000002</v>
      </c>
      <c r="M6" s="3">
        <v>1.4</v>
      </c>
      <c r="N6" s="3"/>
      <c r="Q6" t="s">
        <v>18</v>
      </c>
      <c r="T6" t="s">
        <v>50</v>
      </c>
      <c r="V6" t="s">
        <v>30</v>
      </c>
      <c r="AC6" t="s">
        <v>20</v>
      </c>
      <c r="AD6" t="s">
        <v>158</v>
      </c>
      <c r="AE6" t="s">
        <v>444</v>
      </c>
      <c r="AF6" t="s">
        <v>445</v>
      </c>
      <c r="AG6" t="s">
        <v>446</v>
      </c>
      <c r="AH6" s="3" t="s">
        <v>202</v>
      </c>
      <c r="AI6" t="s">
        <v>543</v>
      </c>
    </row>
    <row r="7" spans="1:35" x14ac:dyDescent="0.25">
      <c r="A7" t="s">
        <v>334</v>
      </c>
      <c r="B7">
        <v>4.12</v>
      </c>
      <c r="C7">
        <f t="shared" si="0"/>
        <v>4.12</v>
      </c>
      <c r="E7" s="12" t="s">
        <v>333</v>
      </c>
      <c r="F7" s="4"/>
      <c r="G7" t="s">
        <v>524</v>
      </c>
      <c r="H7" s="1">
        <f t="shared" si="1"/>
        <v>0.9</v>
      </c>
      <c r="I7">
        <v>250</v>
      </c>
      <c r="J7" s="3" t="s">
        <v>193</v>
      </c>
      <c r="K7" t="s">
        <v>552</v>
      </c>
      <c r="L7">
        <v>12</v>
      </c>
      <c r="M7">
        <v>0.6</v>
      </c>
      <c r="N7" s="3" t="s">
        <v>193</v>
      </c>
      <c r="Q7" t="s">
        <v>19</v>
      </c>
      <c r="T7" t="s">
        <v>51</v>
      </c>
      <c r="V7" t="s">
        <v>32</v>
      </c>
      <c r="AC7" t="s">
        <v>21</v>
      </c>
      <c r="AD7" t="s">
        <v>159</v>
      </c>
      <c r="AE7" t="s">
        <v>447</v>
      </c>
      <c r="AF7" t="s">
        <v>448</v>
      </c>
      <c r="AG7" t="s">
        <v>402</v>
      </c>
      <c r="AH7" s="3" t="s">
        <v>202</v>
      </c>
      <c r="AI7" t="s">
        <v>544</v>
      </c>
    </row>
    <row r="8" spans="1:35" x14ac:dyDescent="0.25">
      <c r="A8" t="s">
        <v>335</v>
      </c>
      <c r="B8">
        <v>4.99</v>
      </c>
      <c r="C8">
        <f t="shared" si="0"/>
        <v>4.99</v>
      </c>
      <c r="E8" s="12" t="s">
        <v>333</v>
      </c>
      <c r="F8" s="5"/>
      <c r="G8" s="8" t="s">
        <v>207</v>
      </c>
      <c r="H8" s="1">
        <f t="shared" si="1"/>
        <v>1</v>
      </c>
      <c r="I8" s="5"/>
      <c r="J8" s="3" t="s">
        <v>192</v>
      </c>
      <c r="K8" s="3" t="s">
        <v>553</v>
      </c>
      <c r="L8" s="3">
        <v>36</v>
      </c>
      <c r="M8" s="3">
        <v>0.4</v>
      </c>
      <c r="N8" s="3"/>
      <c r="Q8" t="s">
        <v>65</v>
      </c>
      <c r="T8" t="s">
        <v>52</v>
      </c>
      <c r="V8" t="s">
        <v>33</v>
      </c>
      <c r="AC8" t="s">
        <v>23</v>
      </c>
      <c r="AD8" t="s">
        <v>160</v>
      </c>
      <c r="AE8" t="s">
        <v>530</v>
      </c>
      <c r="AF8" t="s">
        <v>535</v>
      </c>
      <c r="AI8" t="s">
        <v>541</v>
      </c>
    </row>
    <row r="9" spans="1:35" x14ac:dyDescent="0.25">
      <c r="B9" s="2">
        <v>10</v>
      </c>
      <c r="C9">
        <f t="shared" si="0"/>
        <v>10</v>
      </c>
      <c r="E9" s="12" t="s">
        <v>193</v>
      </c>
      <c r="F9" s="5"/>
      <c r="G9" s="8" t="s">
        <v>207</v>
      </c>
      <c r="H9" s="1">
        <f t="shared" si="1"/>
        <v>1</v>
      </c>
      <c r="I9" s="5"/>
      <c r="J9" s="3" t="s">
        <v>192</v>
      </c>
      <c r="K9" s="3" t="s">
        <v>554</v>
      </c>
      <c r="L9" s="3">
        <v>68</v>
      </c>
      <c r="M9" s="3">
        <v>0.34</v>
      </c>
      <c r="N9" s="3"/>
      <c r="Q9" t="s">
        <v>66</v>
      </c>
      <c r="T9" t="s">
        <v>53</v>
      </c>
      <c r="V9" t="s">
        <v>34</v>
      </c>
      <c r="AC9" t="s">
        <v>24</v>
      </c>
      <c r="AD9" t="s">
        <v>161</v>
      </c>
      <c r="AE9" t="s">
        <v>531</v>
      </c>
      <c r="AF9" t="s">
        <v>445</v>
      </c>
      <c r="AG9" t="s">
        <v>439</v>
      </c>
      <c r="AH9">
        <v>1206</v>
      </c>
      <c r="AI9" t="s">
        <v>545</v>
      </c>
    </row>
    <row r="10" spans="1:35" x14ac:dyDescent="0.25">
      <c r="A10" t="s">
        <v>317</v>
      </c>
      <c r="B10" s="2">
        <v>13</v>
      </c>
      <c r="C10">
        <f t="shared" si="0"/>
        <v>13</v>
      </c>
      <c r="E10" s="12" t="s">
        <v>315</v>
      </c>
      <c r="F10" s="5"/>
      <c r="G10" s="5" t="s">
        <v>463</v>
      </c>
      <c r="H10" s="1">
        <f t="shared" si="1"/>
        <v>1</v>
      </c>
      <c r="I10" s="5" t="s">
        <v>370</v>
      </c>
      <c r="K10" s="3" t="s">
        <v>555</v>
      </c>
      <c r="L10" s="3">
        <v>150</v>
      </c>
      <c r="M10" s="3">
        <v>0.08</v>
      </c>
      <c r="N10" s="3">
        <v>402</v>
      </c>
      <c r="Q10" t="s">
        <v>73</v>
      </c>
      <c r="T10" t="s">
        <v>54</v>
      </c>
      <c r="V10" t="s">
        <v>79</v>
      </c>
      <c r="AC10" t="s">
        <v>31</v>
      </c>
      <c r="AD10" t="s">
        <v>162</v>
      </c>
      <c r="AE10" t="s">
        <v>532</v>
      </c>
      <c r="AF10" t="s">
        <v>536</v>
      </c>
      <c r="AG10" t="s">
        <v>436</v>
      </c>
      <c r="AH10">
        <v>1206</v>
      </c>
      <c r="AI10" t="s">
        <v>546</v>
      </c>
    </row>
    <row r="11" spans="1:35" x14ac:dyDescent="0.25">
      <c r="B11" s="2">
        <v>15</v>
      </c>
      <c r="C11">
        <f t="shared" si="0"/>
        <v>15</v>
      </c>
      <c r="E11" s="12" t="s">
        <v>195</v>
      </c>
      <c r="F11" s="5"/>
      <c r="G11" s="5" t="s">
        <v>374</v>
      </c>
      <c r="H11" s="1">
        <f t="shared" si="1"/>
        <v>1.8</v>
      </c>
      <c r="I11" s="5" t="s">
        <v>370</v>
      </c>
      <c r="J11" s="3" t="s">
        <v>192</v>
      </c>
      <c r="K11" s="5" t="s">
        <v>556</v>
      </c>
      <c r="L11">
        <v>22</v>
      </c>
      <c r="M11">
        <v>0.2</v>
      </c>
      <c r="N11" s="3">
        <v>402</v>
      </c>
      <c r="Q11" t="s">
        <v>91</v>
      </c>
      <c r="T11" t="s">
        <v>55</v>
      </c>
      <c r="V11" t="s">
        <v>80</v>
      </c>
      <c r="AC11" t="s">
        <v>35</v>
      </c>
      <c r="AD11" t="s">
        <v>163</v>
      </c>
      <c r="AE11" t="s">
        <v>533</v>
      </c>
      <c r="AF11" t="s">
        <v>536</v>
      </c>
      <c r="AG11" t="s">
        <v>439</v>
      </c>
      <c r="AH11">
        <v>1206</v>
      </c>
      <c r="AI11" t="s">
        <v>539</v>
      </c>
    </row>
    <row r="12" spans="1:35" x14ac:dyDescent="0.25">
      <c r="B12" s="2">
        <v>16.5</v>
      </c>
      <c r="C12">
        <f t="shared" si="0"/>
        <v>16.5</v>
      </c>
      <c r="E12" s="12" t="s">
        <v>192</v>
      </c>
      <c r="F12" s="5"/>
      <c r="G12" s="8" t="s">
        <v>218</v>
      </c>
      <c r="H12" s="1">
        <f t="shared" si="1"/>
        <v>2.2000000000000002</v>
      </c>
      <c r="I12" s="5"/>
      <c r="J12" s="3" t="s">
        <v>193</v>
      </c>
      <c r="K12" t="s">
        <v>557</v>
      </c>
      <c r="L12">
        <v>27</v>
      </c>
      <c r="M12">
        <v>0.36</v>
      </c>
      <c r="N12" s="3">
        <v>603</v>
      </c>
      <c r="P12" t="s">
        <v>255</v>
      </c>
      <c r="Q12" t="s">
        <v>254</v>
      </c>
      <c r="T12" t="s">
        <v>89</v>
      </c>
      <c r="V12" t="s">
        <v>81</v>
      </c>
      <c r="AC12" t="s">
        <v>36</v>
      </c>
      <c r="AD12" t="s">
        <v>164</v>
      </c>
      <c r="AE12" t="s">
        <v>534</v>
      </c>
      <c r="AF12" t="s">
        <v>537</v>
      </c>
      <c r="AG12" t="s">
        <v>439</v>
      </c>
      <c r="AH12">
        <v>1206</v>
      </c>
      <c r="AI12" t="s">
        <v>547</v>
      </c>
    </row>
    <row r="13" spans="1:35" x14ac:dyDescent="0.25">
      <c r="B13" s="2">
        <v>24.9</v>
      </c>
      <c r="C13">
        <f t="shared" si="0"/>
        <v>24.9</v>
      </c>
      <c r="E13" s="12" t="s">
        <v>202</v>
      </c>
      <c r="F13" s="5"/>
      <c r="G13" s="5" t="s">
        <v>376</v>
      </c>
      <c r="H13" s="1">
        <f t="shared" si="1"/>
        <v>3.9</v>
      </c>
      <c r="I13" s="5" t="s">
        <v>377</v>
      </c>
      <c r="J13" s="3" t="s">
        <v>192</v>
      </c>
      <c r="K13" s="5" t="s">
        <v>559</v>
      </c>
      <c r="L13">
        <v>100</v>
      </c>
      <c r="M13">
        <v>0.22</v>
      </c>
      <c r="N13" s="3">
        <v>603</v>
      </c>
      <c r="P13" t="s">
        <v>256</v>
      </c>
      <c r="Q13" t="s">
        <v>257</v>
      </c>
      <c r="V13" t="s">
        <v>86</v>
      </c>
      <c r="AD13" t="s">
        <v>165</v>
      </c>
      <c r="AI13" t="s">
        <v>539</v>
      </c>
    </row>
    <row r="14" spans="1:35" x14ac:dyDescent="0.25">
      <c r="A14" t="s">
        <v>316</v>
      </c>
      <c r="B14" s="2">
        <v>24.9</v>
      </c>
      <c r="C14">
        <f t="shared" si="0"/>
        <v>24.9</v>
      </c>
      <c r="E14" s="12" t="s">
        <v>315</v>
      </c>
      <c r="F14" s="4"/>
      <c r="G14" s="5" t="s">
        <v>386</v>
      </c>
      <c r="H14" s="1">
        <f t="shared" si="1"/>
        <v>4.7</v>
      </c>
      <c r="I14" s="5" t="s">
        <v>387</v>
      </c>
      <c r="J14" s="15" t="s">
        <v>193</v>
      </c>
      <c r="K14" s="3" t="s">
        <v>560</v>
      </c>
      <c r="L14" s="3">
        <v>43</v>
      </c>
      <c r="M14" s="3">
        <v>0.38</v>
      </c>
      <c r="N14" s="3"/>
      <c r="P14" t="s">
        <v>258</v>
      </c>
      <c r="Q14" t="s">
        <v>259</v>
      </c>
      <c r="V14" t="s">
        <v>92</v>
      </c>
      <c r="AC14" t="s">
        <v>38</v>
      </c>
      <c r="AD14" t="s">
        <v>166</v>
      </c>
      <c r="AI14" t="s">
        <v>548</v>
      </c>
    </row>
    <row r="15" spans="1:35" x14ac:dyDescent="0.25">
      <c r="B15" s="2">
        <v>27.4</v>
      </c>
      <c r="C15">
        <f t="shared" si="0"/>
        <v>27.4</v>
      </c>
      <c r="E15" s="12" t="s">
        <v>201</v>
      </c>
      <c r="F15" s="5"/>
      <c r="G15" t="s">
        <v>497</v>
      </c>
      <c r="H15" s="1">
        <f t="shared" si="1"/>
        <v>4.7</v>
      </c>
      <c r="I15" s="1">
        <v>250</v>
      </c>
      <c r="J15" s="17" t="s">
        <v>193</v>
      </c>
      <c r="K15" t="s">
        <v>561</v>
      </c>
      <c r="L15">
        <v>4.7</v>
      </c>
      <c r="M15">
        <v>0.8</v>
      </c>
      <c r="N15" s="3" t="s">
        <v>193</v>
      </c>
      <c r="P15" t="s">
        <v>260</v>
      </c>
      <c r="Q15" t="s">
        <v>261</v>
      </c>
      <c r="V15" t="s">
        <v>26</v>
      </c>
      <c r="AC15" t="s">
        <v>39</v>
      </c>
      <c r="AD15" t="s">
        <v>167</v>
      </c>
    </row>
    <row r="16" spans="1:35" x14ac:dyDescent="0.25">
      <c r="A16" t="s">
        <v>280</v>
      </c>
      <c r="B16" s="2">
        <v>40.200000000000003</v>
      </c>
      <c r="C16" s="2">
        <f t="shared" si="0"/>
        <v>40.200000000000003</v>
      </c>
      <c r="E16" s="11" t="s">
        <v>193</v>
      </c>
      <c r="F16" s="5" t="s">
        <v>230</v>
      </c>
      <c r="G16" t="s">
        <v>512</v>
      </c>
      <c r="H16" s="1">
        <f t="shared" si="1"/>
        <v>5.6</v>
      </c>
      <c r="I16">
        <v>50</v>
      </c>
      <c r="J16" s="3" t="s">
        <v>193</v>
      </c>
      <c r="K16" s="3" t="s">
        <v>562</v>
      </c>
      <c r="L16" s="3">
        <v>2</v>
      </c>
      <c r="M16" s="3"/>
      <c r="N16" s="3"/>
      <c r="P16" t="s">
        <v>262</v>
      </c>
      <c r="Q16" t="s">
        <v>263</v>
      </c>
      <c r="V16" t="s">
        <v>93</v>
      </c>
      <c r="AD16" t="s">
        <v>168</v>
      </c>
    </row>
    <row r="17" spans="1:30" x14ac:dyDescent="0.25">
      <c r="A17" t="s">
        <v>274</v>
      </c>
      <c r="B17" s="6">
        <v>56</v>
      </c>
      <c r="C17" s="6">
        <f t="shared" si="0"/>
        <v>56</v>
      </c>
      <c r="E17" s="11" t="s">
        <v>193</v>
      </c>
      <c r="F17" s="5"/>
      <c r="G17" t="s">
        <v>512</v>
      </c>
      <c r="H17" s="1">
        <f t="shared" si="1"/>
        <v>5.6</v>
      </c>
      <c r="I17">
        <v>250</v>
      </c>
      <c r="J17" s="3" t="s">
        <v>193</v>
      </c>
      <c r="K17" s="3" t="s">
        <v>563</v>
      </c>
      <c r="L17" s="3">
        <v>30</v>
      </c>
      <c r="M17" s="3">
        <v>0.42</v>
      </c>
      <c r="N17" s="3"/>
      <c r="P17" t="s">
        <v>264</v>
      </c>
      <c r="Q17" t="s">
        <v>265</v>
      </c>
      <c r="V17" t="s">
        <v>94</v>
      </c>
      <c r="AC17" t="s">
        <v>41</v>
      </c>
      <c r="AD17" t="s">
        <v>169</v>
      </c>
    </row>
    <row r="18" spans="1:30" x14ac:dyDescent="0.25">
      <c r="A18" t="s">
        <v>314</v>
      </c>
      <c r="B18" s="6">
        <v>75</v>
      </c>
      <c r="C18">
        <f t="shared" si="0"/>
        <v>75</v>
      </c>
      <c r="E18" s="12" t="s">
        <v>315</v>
      </c>
      <c r="F18" s="5"/>
      <c r="G18" t="s">
        <v>506</v>
      </c>
      <c r="H18" s="1">
        <f t="shared" si="1"/>
        <v>6.8</v>
      </c>
      <c r="I18">
        <v>250</v>
      </c>
      <c r="J18" s="3" t="s">
        <v>193</v>
      </c>
      <c r="K18" s="3" t="s">
        <v>564</v>
      </c>
      <c r="L18" s="3">
        <v>8.1999999999999993</v>
      </c>
      <c r="M18" s="3">
        <v>0.65</v>
      </c>
      <c r="N18" s="3" t="s">
        <v>193</v>
      </c>
      <c r="P18" t="s">
        <v>266</v>
      </c>
      <c r="Q18" t="s">
        <v>267</v>
      </c>
      <c r="V18" t="s">
        <v>95</v>
      </c>
      <c r="AC18" t="s">
        <v>61</v>
      </c>
      <c r="AD18" t="s">
        <v>170</v>
      </c>
    </row>
    <row r="19" spans="1:30" x14ac:dyDescent="0.25">
      <c r="A19" t="s">
        <v>341</v>
      </c>
      <c r="B19">
        <v>82</v>
      </c>
      <c r="C19">
        <f t="shared" si="0"/>
        <v>82</v>
      </c>
      <c r="E19" s="13">
        <v>1206</v>
      </c>
      <c r="F19" s="5"/>
      <c r="G19" s="8" t="s">
        <v>217</v>
      </c>
      <c r="H19" s="1">
        <f t="shared" si="1"/>
        <v>8.1999999999999993</v>
      </c>
      <c r="I19" s="5"/>
      <c r="J19" s="3" t="s">
        <v>193</v>
      </c>
      <c r="K19" s="3" t="s">
        <v>565</v>
      </c>
      <c r="L19" s="3">
        <v>150</v>
      </c>
      <c r="M19" s="3">
        <v>7</v>
      </c>
      <c r="N19" s="3"/>
      <c r="P19" s="3" t="s">
        <v>269</v>
      </c>
      <c r="Q19" t="s">
        <v>268</v>
      </c>
      <c r="V19" t="s">
        <v>96</v>
      </c>
      <c r="AC19" t="s">
        <v>62</v>
      </c>
      <c r="AD19" t="s">
        <v>171</v>
      </c>
    </row>
    <row r="20" spans="1:30" x14ac:dyDescent="0.25">
      <c r="A20" t="s">
        <v>337</v>
      </c>
      <c r="B20">
        <v>88.7</v>
      </c>
      <c r="C20">
        <f t="shared" si="0"/>
        <v>88.7</v>
      </c>
      <c r="E20" s="12" t="s">
        <v>333</v>
      </c>
      <c r="F20" s="5"/>
      <c r="G20" s="8" t="s">
        <v>220</v>
      </c>
      <c r="H20" s="1">
        <f t="shared" si="1"/>
        <v>10</v>
      </c>
      <c r="I20" s="5"/>
      <c r="J20" s="3" t="s">
        <v>219</v>
      </c>
      <c r="K20" s="3" t="s">
        <v>566</v>
      </c>
      <c r="L20" s="3" t="s">
        <v>567</v>
      </c>
      <c r="M20" s="3">
        <v>1.5</v>
      </c>
      <c r="N20" s="3"/>
      <c r="P20" t="s">
        <v>270</v>
      </c>
      <c r="Q20" t="s">
        <v>271</v>
      </c>
      <c r="V20" t="s">
        <v>112</v>
      </c>
      <c r="AC20" t="s">
        <v>63</v>
      </c>
      <c r="AD20" t="s">
        <v>172</v>
      </c>
    </row>
    <row r="21" spans="1:30" x14ac:dyDescent="0.25">
      <c r="B21" s="2">
        <v>91</v>
      </c>
      <c r="C21">
        <f t="shared" si="0"/>
        <v>91</v>
      </c>
      <c r="E21" s="12" t="s">
        <v>193</v>
      </c>
      <c r="F21" s="5"/>
      <c r="G21" s="5" t="s">
        <v>405</v>
      </c>
      <c r="H21" s="1">
        <f t="shared" si="1"/>
        <v>10</v>
      </c>
      <c r="I21" s="5" t="s">
        <v>377</v>
      </c>
      <c r="J21" s="15" t="s">
        <v>219</v>
      </c>
      <c r="K21" s="15" t="s">
        <v>568</v>
      </c>
      <c r="L21" s="3">
        <v>39</v>
      </c>
      <c r="M21" s="3">
        <v>0.3</v>
      </c>
      <c r="N21" s="3"/>
      <c r="P21" t="s">
        <v>272</v>
      </c>
      <c r="Q21" t="s">
        <v>272</v>
      </c>
      <c r="V21" t="s">
        <v>97</v>
      </c>
      <c r="AC21" t="s">
        <v>40</v>
      </c>
      <c r="AD21" t="s">
        <v>173</v>
      </c>
    </row>
    <row r="22" spans="1:30" x14ac:dyDescent="0.25">
      <c r="B22" s="2">
        <v>100</v>
      </c>
      <c r="C22">
        <f t="shared" si="0"/>
        <v>100</v>
      </c>
      <c r="E22" s="12" t="s">
        <v>192</v>
      </c>
      <c r="F22" s="5"/>
      <c r="G22" s="8" t="s">
        <v>215</v>
      </c>
      <c r="H22" s="1">
        <f t="shared" si="1"/>
        <v>11</v>
      </c>
      <c r="I22" s="5"/>
      <c r="J22" s="3" t="s">
        <v>193</v>
      </c>
      <c r="K22" s="3" t="s">
        <v>569</v>
      </c>
      <c r="L22" s="3">
        <v>18</v>
      </c>
      <c r="M22" s="3">
        <v>0.3</v>
      </c>
      <c r="N22" s="3"/>
      <c r="V22" t="s">
        <v>98</v>
      </c>
      <c r="AC22" t="s">
        <v>64</v>
      </c>
      <c r="AD22" t="s">
        <v>174</v>
      </c>
    </row>
    <row r="23" spans="1:30" x14ac:dyDescent="0.25">
      <c r="A23" t="s">
        <v>321</v>
      </c>
      <c r="B23" s="2">
        <v>100</v>
      </c>
      <c r="C23">
        <f t="shared" si="0"/>
        <v>100</v>
      </c>
      <c r="E23" s="12" t="s">
        <v>315</v>
      </c>
      <c r="F23" s="5"/>
      <c r="G23" s="8" t="s">
        <v>216</v>
      </c>
      <c r="H23" s="1">
        <f t="shared" si="1"/>
        <v>13</v>
      </c>
      <c r="I23" s="5"/>
      <c r="J23" s="3" t="s">
        <v>193</v>
      </c>
      <c r="K23" s="3" t="s">
        <v>570</v>
      </c>
      <c r="L23" s="3">
        <v>100</v>
      </c>
      <c r="M23" s="3">
        <v>0.4</v>
      </c>
      <c r="N23" s="3"/>
      <c r="V23" t="s">
        <v>99</v>
      </c>
      <c r="AC23" t="s">
        <v>68</v>
      </c>
      <c r="AD23" t="s">
        <v>175</v>
      </c>
    </row>
    <row r="24" spans="1:30" x14ac:dyDescent="0.25">
      <c r="A24" t="s">
        <v>332</v>
      </c>
      <c r="B24">
        <v>100</v>
      </c>
      <c r="C24">
        <f t="shared" si="0"/>
        <v>100</v>
      </c>
      <c r="E24" s="12" t="s">
        <v>333</v>
      </c>
      <c r="F24" s="5"/>
      <c r="G24" s="8" t="s">
        <v>226</v>
      </c>
      <c r="H24" s="1">
        <f t="shared" si="1"/>
        <v>20</v>
      </c>
      <c r="I24" s="5"/>
      <c r="J24" s="3" t="s">
        <v>193</v>
      </c>
      <c r="K24" s="3" t="s">
        <v>572</v>
      </c>
      <c r="L24" s="3" t="s">
        <v>571</v>
      </c>
      <c r="M24" s="3"/>
      <c r="N24" s="3"/>
      <c r="V24" t="s">
        <v>100</v>
      </c>
      <c r="AC24" t="s">
        <v>74</v>
      </c>
      <c r="AD24" t="s">
        <v>176</v>
      </c>
    </row>
    <row r="25" spans="1:30" x14ac:dyDescent="0.25">
      <c r="A25" t="s">
        <v>290</v>
      </c>
      <c r="B25">
        <v>133</v>
      </c>
      <c r="C25" s="2">
        <f t="shared" si="0"/>
        <v>133</v>
      </c>
      <c r="E25" s="11" t="s">
        <v>193</v>
      </c>
      <c r="F25" s="5"/>
      <c r="G25" s="7" t="s">
        <v>221</v>
      </c>
      <c r="H25" s="1">
        <f t="shared" si="1"/>
        <v>22</v>
      </c>
      <c r="I25" s="4"/>
      <c r="J25" s="3" t="s">
        <v>202</v>
      </c>
      <c r="K25" s="3"/>
      <c r="L25" s="3"/>
      <c r="M25" s="3"/>
      <c r="N25" s="3"/>
      <c r="V25" t="s">
        <v>101</v>
      </c>
      <c r="AC25" t="s">
        <v>76</v>
      </c>
      <c r="AD25" t="s">
        <v>177</v>
      </c>
    </row>
    <row r="26" spans="1:30" x14ac:dyDescent="0.25">
      <c r="A26" t="s">
        <v>336</v>
      </c>
      <c r="B26">
        <v>215</v>
      </c>
      <c r="C26">
        <f t="shared" si="0"/>
        <v>215</v>
      </c>
      <c r="E26" s="13">
        <v>1206</v>
      </c>
      <c r="F26" s="5"/>
      <c r="G26" s="8" t="s">
        <v>221</v>
      </c>
      <c r="H26" s="1">
        <f t="shared" si="1"/>
        <v>22</v>
      </c>
      <c r="I26" s="5"/>
      <c r="J26" s="3" t="s">
        <v>227</v>
      </c>
      <c r="K26" s="3"/>
      <c r="L26" s="3"/>
      <c r="M26" s="3"/>
      <c r="N26" s="3"/>
      <c r="V26" t="s">
        <v>102</v>
      </c>
      <c r="AC26" t="s">
        <v>455</v>
      </c>
      <c r="AD26" t="s">
        <v>178</v>
      </c>
    </row>
    <row r="27" spans="1:30" x14ac:dyDescent="0.25">
      <c r="A27" t="s">
        <v>338</v>
      </c>
      <c r="B27">
        <v>215</v>
      </c>
      <c r="C27">
        <f t="shared" si="0"/>
        <v>215</v>
      </c>
      <c r="E27" s="12" t="s">
        <v>315</v>
      </c>
      <c r="F27" s="5"/>
      <c r="G27" s="5" t="s">
        <v>427</v>
      </c>
      <c r="H27" s="1">
        <f t="shared" si="1"/>
        <v>27</v>
      </c>
      <c r="I27" s="5" t="s">
        <v>377</v>
      </c>
      <c r="J27" s="15" t="s">
        <v>219</v>
      </c>
      <c r="K27" s="3"/>
      <c r="L27" s="3"/>
      <c r="M27" s="3"/>
      <c r="N27" s="3"/>
      <c r="V27" t="s">
        <v>103</v>
      </c>
      <c r="AD27" t="s">
        <v>179</v>
      </c>
    </row>
    <row r="28" spans="1:30" x14ac:dyDescent="0.25">
      <c r="A28" t="s">
        <v>318</v>
      </c>
      <c r="B28" s="2">
        <v>220</v>
      </c>
      <c r="C28">
        <f t="shared" si="0"/>
        <v>220</v>
      </c>
      <c r="E28" s="12" t="s">
        <v>315</v>
      </c>
      <c r="F28" s="5"/>
      <c r="G28" t="s">
        <v>514</v>
      </c>
      <c r="H28" s="1">
        <f t="shared" si="1"/>
        <v>47</v>
      </c>
      <c r="I28">
        <v>50</v>
      </c>
      <c r="J28" s="3" t="s">
        <v>193</v>
      </c>
      <c r="K28" s="3"/>
      <c r="L28" s="3"/>
      <c r="M28" s="3"/>
      <c r="N28" s="3"/>
      <c r="V28" t="s">
        <v>104</v>
      </c>
      <c r="AD28" t="s">
        <v>180</v>
      </c>
    </row>
    <row r="29" spans="1:30" x14ac:dyDescent="0.25">
      <c r="A29" t="s">
        <v>279</v>
      </c>
      <c r="B29" s="2">
        <v>240</v>
      </c>
      <c r="C29" s="2">
        <f t="shared" si="0"/>
        <v>240</v>
      </c>
      <c r="E29" s="11" t="s">
        <v>193</v>
      </c>
      <c r="F29" s="5"/>
      <c r="G29" t="s">
        <v>510</v>
      </c>
      <c r="H29" s="1">
        <f t="shared" si="1"/>
        <v>56</v>
      </c>
      <c r="I29">
        <v>50</v>
      </c>
      <c r="J29" s="3" t="s">
        <v>193</v>
      </c>
      <c r="K29" s="3"/>
      <c r="L29" s="3"/>
      <c r="M29" s="3"/>
      <c r="N29" s="3"/>
      <c r="V29" t="s">
        <v>105</v>
      </c>
      <c r="AD29" t="s">
        <v>181</v>
      </c>
    </row>
    <row r="30" spans="1:30" x14ac:dyDescent="0.25">
      <c r="A30" t="s">
        <v>320</v>
      </c>
      <c r="B30" s="2">
        <v>249</v>
      </c>
      <c r="C30">
        <f t="shared" si="0"/>
        <v>249</v>
      </c>
      <c r="E30" s="13">
        <v>1206</v>
      </c>
      <c r="F30" s="5"/>
      <c r="G30" t="s">
        <v>504</v>
      </c>
      <c r="H30" s="1">
        <f t="shared" si="1"/>
        <v>68</v>
      </c>
      <c r="I30">
        <v>50</v>
      </c>
      <c r="J30" s="3" t="s">
        <v>193</v>
      </c>
      <c r="K30" s="3"/>
      <c r="L30" s="3"/>
      <c r="M30" s="3"/>
      <c r="V30" t="s">
        <v>106</v>
      </c>
      <c r="AD30" t="s">
        <v>182</v>
      </c>
    </row>
    <row r="31" spans="1:30" x14ac:dyDescent="0.25">
      <c r="A31" t="s">
        <v>289</v>
      </c>
      <c r="B31">
        <v>287</v>
      </c>
      <c r="C31" s="2">
        <f t="shared" si="0"/>
        <v>287</v>
      </c>
      <c r="E31" s="11" t="s">
        <v>193</v>
      </c>
      <c r="F31" s="5"/>
      <c r="G31" t="s">
        <v>504</v>
      </c>
      <c r="H31" s="1">
        <f t="shared" si="1"/>
        <v>68</v>
      </c>
      <c r="I31">
        <v>50</v>
      </c>
      <c r="J31" s="3" t="s">
        <v>193</v>
      </c>
      <c r="K31" s="3"/>
      <c r="L31" s="3"/>
      <c r="M31" s="3"/>
      <c r="V31" t="s">
        <v>107</v>
      </c>
      <c r="AD31" t="s">
        <v>183</v>
      </c>
    </row>
    <row r="32" spans="1:30" x14ac:dyDescent="0.25">
      <c r="B32" s="2">
        <v>300</v>
      </c>
      <c r="C32">
        <f t="shared" si="0"/>
        <v>300</v>
      </c>
      <c r="E32" s="12" t="s">
        <v>201</v>
      </c>
      <c r="F32" s="5"/>
      <c r="G32" s="8" t="s">
        <v>22</v>
      </c>
      <c r="H32" s="1">
        <f t="shared" si="1"/>
        <v>100</v>
      </c>
      <c r="I32" s="5"/>
      <c r="K32" s="3"/>
      <c r="L32" s="3"/>
      <c r="M32" s="3"/>
      <c r="V32" t="s">
        <v>109</v>
      </c>
      <c r="AD32" t="s">
        <v>184</v>
      </c>
    </row>
    <row r="33" spans="1:30" x14ac:dyDescent="0.25">
      <c r="A33" t="s">
        <v>276</v>
      </c>
      <c r="B33" s="2">
        <v>402</v>
      </c>
      <c r="C33" s="2">
        <f t="shared" si="0"/>
        <v>402</v>
      </c>
      <c r="E33" s="11" t="s">
        <v>193</v>
      </c>
      <c r="F33" s="5"/>
      <c r="G33" s="5" t="s">
        <v>369</v>
      </c>
      <c r="H33" s="1">
        <f t="shared" si="1"/>
        <v>100</v>
      </c>
      <c r="I33" s="5" t="s">
        <v>370</v>
      </c>
      <c r="J33" s="15" t="s">
        <v>192</v>
      </c>
      <c r="V33" t="s">
        <v>108</v>
      </c>
      <c r="AD33" t="s">
        <v>185</v>
      </c>
    </row>
    <row r="34" spans="1:30" x14ac:dyDescent="0.25">
      <c r="A34" t="s">
        <v>319</v>
      </c>
      <c r="B34" s="2">
        <v>402</v>
      </c>
      <c r="C34">
        <f t="shared" si="0"/>
        <v>402</v>
      </c>
      <c r="E34" s="12" t="s">
        <v>315</v>
      </c>
      <c r="F34" s="5"/>
      <c r="G34" s="5" t="s">
        <v>379</v>
      </c>
      <c r="H34" s="1">
        <f t="shared" si="1"/>
        <v>100</v>
      </c>
      <c r="I34" s="5" t="s">
        <v>377</v>
      </c>
      <c r="J34" s="15" t="s">
        <v>192</v>
      </c>
      <c r="K34" s="3"/>
      <c r="L34" s="3"/>
      <c r="M34" s="3"/>
      <c r="V34" t="s">
        <v>110</v>
      </c>
      <c r="AD34" t="s">
        <v>186</v>
      </c>
    </row>
    <row r="35" spans="1:30" x14ac:dyDescent="0.25">
      <c r="A35" t="s">
        <v>275</v>
      </c>
      <c r="B35" s="2">
        <v>453</v>
      </c>
      <c r="C35" s="2">
        <f t="shared" ref="C35:C66" si="2">IF(RIGHT(B35,1)="k", VALUE(LEFT(B35,LEN(B35)-1))*1000, VALUE(B35))</f>
        <v>453</v>
      </c>
      <c r="E35" s="14" t="s">
        <v>193</v>
      </c>
      <c r="F35" s="4"/>
      <c r="G35" t="s">
        <v>495</v>
      </c>
      <c r="H35" s="1">
        <f t="shared" ref="H35:H66" si="3">IF(ISNUMBER(SEARCH("pF",G35)), VALUE(LEFT(G35,SEARCH("pF",G35)-1)),
 IF(ISNUMBER(SEARCH("nF",G35)), VALUE(LEFT(G35,SEARCH("nF",G35)-1))*1000,
 IF(ISNUMBER(SEARCH("uF",G35)), VALUE(LEFT(G35,SEARCH("uF",G35)-1))*1000000,"")))</f>
        <v>100</v>
      </c>
      <c r="I35">
        <v>5</v>
      </c>
      <c r="J35" s="3" t="s">
        <v>193</v>
      </c>
      <c r="K35" s="3"/>
      <c r="L35" s="3"/>
      <c r="M35" s="3"/>
      <c r="V35" t="s">
        <v>111</v>
      </c>
    </row>
    <row r="36" spans="1:30" x14ac:dyDescent="0.25">
      <c r="B36" s="2">
        <v>715</v>
      </c>
      <c r="C36">
        <f t="shared" si="2"/>
        <v>715</v>
      </c>
      <c r="E36" s="11" t="s">
        <v>193</v>
      </c>
      <c r="F36" s="5" t="s">
        <v>368</v>
      </c>
      <c r="G36" t="s">
        <v>369</v>
      </c>
      <c r="H36" s="1">
        <f t="shared" si="3"/>
        <v>100</v>
      </c>
      <c r="I36">
        <v>50</v>
      </c>
      <c r="J36" s="3" t="s">
        <v>193</v>
      </c>
      <c r="V36" t="s">
        <v>113</v>
      </c>
    </row>
    <row r="37" spans="1:30" x14ac:dyDescent="0.25">
      <c r="B37" s="2" t="s">
        <v>247</v>
      </c>
      <c r="C37">
        <f t="shared" si="2"/>
        <v>1000</v>
      </c>
      <c r="E37" s="12" t="s">
        <v>193</v>
      </c>
      <c r="F37" s="5" t="s">
        <v>371</v>
      </c>
      <c r="G37" s="5" t="s">
        <v>422</v>
      </c>
      <c r="H37" s="1">
        <f t="shared" si="3"/>
        <v>390</v>
      </c>
      <c r="I37" s="5" t="s">
        <v>423</v>
      </c>
      <c r="J37" s="15" t="s">
        <v>219</v>
      </c>
      <c r="V37" t="s">
        <v>114</v>
      </c>
    </row>
    <row r="38" spans="1:30" x14ac:dyDescent="0.25">
      <c r="B38" s="2" t="s">
        <v>194</v>
      </c>
      <c r="C38">
        <f t="shared" si="2"/>
        <v>1050</v>
      </c>
      <c r="E38" s="12" t="s">
        <v>193</v>
      </c>
      <c r="F38" t="s">
        <v>373</v>
      </c>
      <c r="G38" t="s">
        <v>517</v>
      </c>
      <c r="H38" s="1">
        <f t="shared" si="3"/>
        <v>500</v>
      </c>
      <c r="I38" s="3">
        <v>50</v>
      </c>
      <c r="J38" s="3" t="s">
        <v>193</v>
      </c>
      <c r="V38" t="s">
        <v>115</v>
      </c>
    </row>
    <row r="39" spans="1:30" x14ac:dyDescent="0.25">
      <c r="B39" s="2" t="s">
        <v>246</v>
      </c>
      <c r="C39">
        <f t="shared" si="2"/>
        <v>1200</v>
      </c>
      <c r="E39" s="12" t="s">
        <v>201</v>
      </c>
      <c r="F39" s="5" t="s">
        <v>375</v>
      </c>
      <c r="G39" s="5" t="s">
        <v>409</v>
      </c>
      <c r="H39" s="1">
        <f t="shared" si="3"/>
        <v>820</v>
      </c>
      <c r="I39" s="5" t="s">
        <v>377</v>
      </c>
      <c r="J39" s="15" t="s">
        <v>219</v>
      </c>
      <c r="V39" t="s">
        <v>116</v>
      </c>
    </row>
    <row r="40" spans="1:30" x14ac:dyDescent="0.25">
      <c r="B40" s="2" t="s">
        <v>245</v>
      </c>
      <c r="C40">
        <f t="shared" si="2"/>
        <v>1300</v>
      </c>
      <c r="E40" s="12" t="s">
        <v>193</v>
      </c>
      <c r="F40" s="5" t="s">
        <v>378</v>
      </c>
      <c r="G40" s="7" t="s">
        <v>205</v>
      </c>
      <c r="H40" s="1">
        <f t="shared" si="3"/>
        <v>1000</v>
      </c>
      <c r="I40" s="4"/>
      <c r="J40" s="3" t="s">
        <v>206</v>
      </c>
      <c r="V40" t="s">
        <v>117</v>
      </c>
    </row>
    <row r="41" spans="1:30" x14ac:dyDescent="0.25">
      <c r="B41" s="2" t="s">
        <v>245</v>
      </c>
      <c r="C41">
        <f t="shared" si="2"/>
        <v>1300</v>
      </c>
      <c r="E41" s="12" t="s">
        <v>203</v>
      </c>
      <c r="F41" s="5" t="s">
        <v>380</v>
      </c>
      <c r="G41" s="8" t="s">
        <v>223</v>
      </c>
      <c r="H41" s="1">
        <f t="shared" si="3"/>
        <v>1000</v>
      </c>
      <c r="I41" s="5"/>
      <c r="J41" s="3" t="s">
        <v>193</v>
      </c>
      <c r="V41" t="s">
        <v>118</v>
      </c>
    </row>
    <row r="42" spans="1:30" x14ac:dyDescent="0.25">
      <c r="B42" s="2" t="s">
        <v>245</v>
      </c>
      <c r="C42">
        <f t="shared" si="2"/>
        <v>1300</v>
      </c>
      <c r="E42" s="12" t="s">
        <v>201</v>
      </c>
      <c r="F42" s="5" t="s">
        <v>383</v>
      </c>
      <c r="G42" s="8" t="s">
        <v>223</v>
      </c>
      <c r="H42" s="1">
        <f t="shared" si="3"/>
        <v>1000</v>
      </c>
      <c r="I42" s="5"/>
      <c r="J42" s="3" t="s">
        <v>192</v>
      </c>
      <c r="V42" t="s">
        <v>119</v>
      </c>
    </row>
    <row r="43" spans="1:30" x14ac:dyDescent="0.25">
      <c r="B43" s="2" t="s">
        <v>244</v>
      </c>
      <c r="C43">
        <f t="shared" si="2"/>
        <v>1500</v>
      </c>
      <c r="E43" s="12" t="s">
        <v>201</v>
      </c>
      <c r="F43" s="5" t="s">
        <v>385</v>
      </c>
      <c r="G43" t="s">
        <v>529</v>
      </c>
      <c r="H43">
        <f t="shared" si="3"/>
        <v>1000</v>
      </c>
      <c r="I43">
        <v>50</v>
      </c>
      <c r="J43" s="3" t="s">
        <v>192</v>
      </c>
      <c r="V43" t="s">
        <v>120</v>
      </c>
    </row>
    <row r="44" spans="1:30" x14ac:dyDescent="0.25">
      <c r="A44" t="s">
        <v>307</v>
      </c>
      <c r="B44" s="2" t="s">
        <v>308</v>
      </c>
      <c r="C44" s="2">
        <f t="shared" si="2"/>
        <v>2000</v>
      </c>
      <c r="E44" s="11" t="s">
        <v>193</v>
      </c>
      <c r="F44" s="5" t="s">
        <v>388</v>
      </c>
      <c r="G44" s="5" t="s">
        <v>411</v>
      </c>
      <c r="H44" s="1">
        <f t="shared" si="3"/>
        <v>3300</v>
      </c>
      <c r="I44" s="5" t="s">
        <v>377</v>
      </c>
      <c r="J44" s="15" t="s">
        <v>219</v>
      </c>
      <c r="V44" t="s">
        <v>121</v>
      </c>
    </row>
    <row r="45" spans="1:30" x14ac:dyDescent="0.25">
      <c r="A45" t="s">
        <v>339</v>
      </c>
      <c r="B45" t="s">
        <v>340</v>
      </c>
      <c r="C45">
        <f t="shared" si="2"/>
        <v>2210</v>
      </c>
      <c r="E45" s="12" t="s">
        <v>333</v>
      </c>
      <c r="F45" s="5" t="s">
        <v>390</v>
      </c>
      <c r="G45" s="8" t="s">
        <v>212</v>
      </c>
      <c r="H45" s="1">
        <f t="shared" si="3"/>
        <v>10000</v>
      </c>
      <c r="I45" s="5"/>
      <c r="J45" s="3" t="s">
        <v>193</v>
      </c>
      <c r="V45" t="s">
        <v>122</v>
      </c>
    </row>
    <row r="46" spans="1:30" x14ac:dyDescent="0.25">
      <c r="B46" s="2" t="s">
        <v>191</v>
      </c>
      <c r="C46">
        <f t="shared" si="2"/>
        <v>3320</v>
      </c>
      <c r="E46" s="11" t="s">
        <v>193</v>
      </c>
      <c r="F46" s="5" t="s">
        <v>392</v>
      </c>
      <c r="G46" s="8" t="s">
        <v>228</v>
      </c>
      <c r="H46" s="1">
        <f t="shared" si="3"/>
        <v>10000</v>
      </c>
      <c r="I46" s="5"/>
      <c r="J46" s="3" t="s">
        <v>193</v>
      </c>
      <c r="V46" t="s">
        <v>123</v>
      </c>
    </row>
    <row r="47" spans="1:30" x14ac:dyDescent="0.25">
      <c r="B47" s="2" t="s">
        <v>191</v>
      </c>
      <c r="C47">
        <f t="shared" si="2"/>
        <v>3320</v>
      </c>
      <c r="E47" s="12" t="s">
        <v>201</v>
      </c>
      <c r="F47" s="5" t="s">
        <v>393</v>
      </c>
      <c r="G47" t="s">
        <v>228</v>
      </c>
      <c r="H47" s="1">
        <f t="shared" si="3"/>
        <v>10000</v>
      </c>
      <c r="I47">
        <v>25</v>
      </c>
      <c r="J47" s="3" t="s">
        <v>193</v>
      </c>
      <c r="V47" t="s">
        <v>124</v>
      </c>
    </row>
    <row r="48" spans="1:30" x14ac:dyDescent="0.25">
      <c r="B48" s="2" t="s">
        <v>243</v>
      </c>
      <c r="C48">
        <f t="shared" si="2"/>
        <v>3920</v>
      </c>
      <c r="E48" s="12" t="s">
        <v>201</v>
      </c>
      <c r="F48" s="5" t="s">
        <v>395</v>
      </c>
      <c r="G48" s="8" t="s">
        <v>211</v>
      </c>
      <c r="H48" s="1">
        <f t="shared" si="3"/>
        <v>100000</v>
      </c>
      <c r="I48" s="5"/>
      <c r="J48" s="3" t="s">
        <v>192</v>
      </c>
      <c r="V48" t="s">
        <v>125</v>
      </c>
    </row>
    <row r="49" spans="1:22" x14ac:dyDescent="0.25">
      <c r="A49" t="s">
        <v>298</v>
      </c>
      <c r="B49" s="2" t="s">
        <v>299</v>
      </c>
      <c r="C49" s="2">
        <f t="shared" si="2"/>
        <v>4750</v>
      </c>
      <c r="E49" s="11" t="s">
        <v>193</v>
      </c>
      <c r="F49" s="5" t="s">
        <v>396</v>
      </c>
      <c r="G49" s="8" t="s">
        <v>87</v>
      </c>
      <c r="H49" s="1">
        <f t="shared" si="3"/>
        <v>100000</v>
      </c>
      <c r="I49" s="5"/>
      <c r="V49" t="s">
        <v>126</v>
      </c>
    </row>
    <row r="50" spans="1:22" x14ac:dyDescent="0.25">
      <c r="B50" s="2" t="s">
        <v>242</v>
      </c>
      <c r="C50">
        <f t="shared" si="2"/>
        <v>5000</v>
      </c>
      <c r="E50" s="12" t="s">
        <v>201</v>
      </c>
      <c r="F50" s="5" t="s">
        <v>398</v>
      </c>
      <c r="G50" s="5" t="s">
        <v>384</v>
      </c>
      <c r="H50" s="1">
        <f t="shared" si="3"/>
        <v>100000</v>
      </c>
      <c r="I50" s="5" t="s">
        <v>232</v>
      </c>
      <c r="J50" s="15" t="s">
        <v>192</v>
      </c>
      <c r="V50" t="s">
        <v>127</v>
      </c>
    </row>
    <row r="51" spans="1:22" x14ac:dyDescent="0.25">
      <c r="B51" s="2" t="s">
        <v>241</v>
      </c>
      <c r="C51">
        <f t="shared" si="2"/>
        <v>6650</v>
      </c>
      <c r="E51" s="12" t="s">
        <v>201</v>
      </c>
      <c r="F51" s="5" t="s">
        <v>399</v>
      </c>
      <c r="G51" t="s">
        <v>508</v>
      </c>
      <c r="H51" s="1">
        <f t="shared" si="3"/>
        <v>100000</v>
      </c>
      <c r="I51">
        <v>50</v>
      </c>
      <c r="J51" s="3" t="s">
        <v>193</v>
      </c>
      <c r="V51" t="s">
        <v>128</v>
      </c>
    </row>
    <row r="52" spans="1:22" x14ac:dyDescent="0.25">
      <c r="A52" t="s">
        <v>304</v>
      </c>
      <c r="B52" s="2" t="s">
        <v>305</v>
      </c>
      <c r="C52" s="2">
        <f t="shared" si="2"/>
        <v>7150</v>
      </c>
      <c r="E52" s="11" t="s">
        <v>193</v>
      </c>
      <c r="F52" s="5" t="s">
        <v>403</v>
      </c>
      <c r="G52" s="8" t="s">
        <v>209</v>
      </c>
      <c r="H52" s="1">
        <f t="shared" si="3"/>
        <v>1000000</v>
      </c>
      <c r="I52" s="5"/>
      <c r="J52" s="3" t="s">
        <v>193</v>
      </c>
      <c r="V52" t="s">
        <v>129</v>
      </c>
    </row>
    <row r="53" spans="1:22" x14ac:dyDescent="0.25">
      <c r="A53" t="s">
        <v>306</v>
      </c>
      <c r="B53" s="2" t="s">
        <v>305</v>
      </c>
      <c r="C53" s="2">
        <f t="shared" si="2"/>
        <v>7150</v>
      </c>
      <c r="E53" s="11" t="s">
        <v>193</v>
      </c>
      <c r="F53" s="5" t="s">
        <v>404</v>
      </c>
      <c r="G53" s="8" t="s">
        <v>222</v>
      </c>
      <c r="H53" s="1">
        <f t="shared" si="3"/>
        <v>1000000</v>
      </c>
      <c r="I53" s="5"/>
      <c r="J53" s="3" t="s">
        <v>193</v>
      </c>
      <c r="V53" t="s">
        <v>130</v>
      </c>
    </row>
    <row r="54" spans="1:22" x14ac:dyDescent="0.25">
      <c r="B54" s="2" t="s">
        <v>197</v>
      </c>
      <c r="C54">
        <f t="shared" si="2"/>
        <v>8060.0000000000009</v>
      </c>
      <c r="E54" s="12" t="s">
        <v>192</v>
      </c>
      <c r="F54" s="5" t="s">
        <v>406</v>
      </c>
      <c r="G54" s="8" t="s">
        <v>209</v>
      </c>
      <c r="H54" s="1">
        <f t="shared" si="3"/>
        <v>1000000</v>
      </c>
      <c r="I54" s="5"/>
      <c r="J54" s="3" t="s">
        <v>193</v>
      </c>
      <c r="V54" t="s">
        <v>131</v>
      </c>
    </row>
    <row r="55" spans="1:22" x14ac:dyDescent="0.25">
      <c r="A55" t="s">
        <v>287</v>
      </c>
      <c r="B55" s="2" t="s">
        <v>288</v>
      </c>
      <c r="C55" s="2">
        <f t="shared" si="2"/>
        <v>8870</v>
      </c>
      <c r="E55" s="11" t="s">
        <v>219</v>
      </c>
      <c r="F55" s="5" t="s">
        <v>408</v>
      </c>
      <c r="G55" s="5" t="s">
        <v>425</v>
      </c>
      <c r="H55" s="1">
        <f t="shared" si="3"/>
        <v>1000000</v>
      </c>
      <c r="I55" s="5" t="s">
        <v>232</v>
      </c>
      <c r="J55" s="15" t="s">
        <v>219</v>
      </c>
      <c r="V55" t="s">
        <v>132</v>
      </c>
    </row>
    <row r="56" spans="1:22" x14ac:dyDescent="0.25">
      <c r="B56" s="2" t="s">
        <v>240</v>
      </c>
      <c r="C56">
        <f t="shared" si="2"/>
        <v>12000</v>
      </c>
      <c r="E56" s="12" t="s">
        <v>195</v>
      </c>
      <c r="F56" s="5" t="s">
        <v>410</v>
      </c>
      <c r="G56" s="8" t="s">
        <v>210</v>
      </c>
      <c r="H56" s="1">
        <f t="shared" si="3"/>
        <v>2200000</v>
      </c>
      <c r="I56" s="5"/>
      <c r="J56" s="3" t="s">
        <v>192</v>
      </c>
      <c r="V56" t="s">
        <v>133</v>
      </c>
    </row>
    <row r="57" spans="1:22" x14ac:dyDescent="0.25">
      <c r="A57" t="s">
        <v>300</v>
      </c>
      <c r="B57" s="2" t="s">
        <v>301</v>
      </c>
      <c r="C57" s="2">
        <f t="shared" si="2"/>
        <v>12100</v>
      </c>
      <c r="E57" s="11" t="s">
        <v>193</v>
      </c>
      <c r="F57" s="5" t="s">
        <v>412</v>
      </c>
      <c r="G57" s="8" t="s">
        <v>229</v>
      </c>
      <c r="H57" s="1">
        <f t="shared" si="3"/>
        <v>2200000</v>
      </c>
      <c r="I57" s="5"/>
      <c r="J57" s="3" t="s">
        <v>193</v>
      </c>
      <c r="V57" t="s">
        <v>134</v>
      </c>
    </row>
    <row r="58" spans="1:22" x14ac:dyDescent="0.25">
      <c r="B58" s="2" t="s">
        <v>239</v>
      </c>
      <c r="C58">
        <f t="shared" si="2"/>
        <v>16900</v>
      </c>
      <c r="E58" s="12" t="s">
        <v>195</v>
      </c>
      <c r="F58" s="5" t="s">
        <v>421</v>
      </c>
      <c r="G58" s="8" t="s">
        <v>229</v>
      </c>
      <c r="H58" s="1">
        <f t="shared" si="3"/>
        <v>2200000</v>
      </c>
      <c r="I58" s="5"/>
      <c r="J58" s="3" t="s">
        <v>193</v>
      </c>
      <c r="V58" t="s">
        <v>135</v>
      </c>
    </row>
    <row r="59" spans="1:22" x14ac:dyDescent="0.25">
      <c r="A59" t="s">
        <v>292</v>
      </c>
      <c r="B59" s="2" t="s">
        <v>293</v>
      </c>
      <c r="C59" s="2">
        <f t="shared" si="2"/>
        <v>17400</v>
      </c>
      <c r="E59" s="11" t="s">
        <v>193</v>
      </c>
      <c r="F59" s="5" t="s">
        <v>424</v>
      </c>
      <c r="G59" t="s">
        <v>501</v>
      </c>
      <c r="H59" s="1">
        <f t="shared" si="3"/>
        <v>2200000</v>
      </c>
      <c r="I59">
        <v>6.3</v>
      </c>
      <c r="J59" s="3" t="s">
        <v>193</v>
      </c>
      <c r="V59" t="s">
        <v>136</v>
      </c>
    </row>
    <row r="60" spans="1:22" x14ac:dyDescent="0.25">
      <c r="A60" t="s">
        <v>309</v>
      </c>
      <c r="B60" s="2" t="s">
        <v>293</v>
      </c>
      <c r="C60" s="2">
        <f t="shared" si="2"/>
        <v>17400</v>
      </c>
      <c r="E60" s="11" t="s">
        <v>193</v>
      </c>
      <c r="F60" s="5" t="s">
        <v>426</v>
      </c>
      <c r="G60" t="s">
        <v>501</v>
      </c>
      <c r="H60" s="1">
        <f t="shared" si="3"/>
        <v>2200000</v>
      </c>
      <c r="I60">
        <v>10</v>
      </c>
      <c r="J60" s="3" t="s">
        <v>193</v>
      </c>
      <c r="V60" t="s">
        <v>137</v>
      </c>
    </row>
    <row r="61" spans="1:22" x14ac:dyDescent="0.25">
      <c r="B61" s="2" t="s">
        <v>196</v>
      </c>
      <c r="C61">
        <f t="shared" si="2"/>
        <v>18000</v>
      </c>
      <c r="E61" s="12" t="s">
        <v>192</v>
      </c>
      <c r="F61" s="5" t="s">
        <v>428</v>
      </c>
      <c r="G61" s="5" t="s">
        <v>381</v>
      </c>
      <c r="H61" s="1">
        <f t="shared" si="3"/>
        <v>4700000</v>
      </c>
      <c r="I61" s="5" t="s">
        <v>382</v>
      </c>
      <c r="J61" s="15" t="s">
        <v>192</v>
      </c>
      <c r="V61" t="s">
        <v>134</v>
      </c>
    </row>
    <row r="62" spans="1:22" x14ac:dyDescent="0.25">
      <c r="A62" t="s">
        <v>294</v>
      </c>
      <c r="B62" s="2" t="s">
        <v>295</v>
      </c>
      <c r="C62" s="2">
        <f t="shared" si="2"/>
        <v>20000</v>
      </c>
      <c r="E62" s="11" t="s">
        <v>193</v>
      </c>
      <c r="F62" s="5" t="s">
        <v>453</v>
      </c>
      <c r="G62" t="s">
        <v>499</v>
      </c>
      <c r="H62" s="1">
        <f t="shared" si="3"/>
        <v>4700000</v>
      </c>
      <c r="I62">
        <v>10</v>
      </c>
      <c r="J62" s="3" t="s">
        <v>193</v>
      </c>
      <c r="V62" t="s">
        <v>138</v>
      </c>
    </row>
    <row r="63" spans="1:22" x14ac:dyDescent="0.25">
      <c r="A63" t="s">
        <v>323</v>
      </c>
      <c r="B63" t="s">
        <v>324</v>
      </c>
      <c r="C63">
        <f t="shared" si="2"/>
        <v>20000</v>
      </c>
      <c r="E63" s="12" t="s">
        <v>325</v>
      </c>
      <c r="F63" s="5" t="s">
        <v>462</v>
      </c>
      <c r="G63" s="8" t="s">
        <v>208</v>
      </c>
      <c r="H63" s="1">
        <f t="shared" si="3"/>
        <v>10000000</v>
      </c>
      <c r="I63" s="5"/>
      <c r="J63" s="3" t="s">
        <v>192</v>
      </c>
      <c r="V63" t="s">
        <v>139</v>
      </c>
    </row>
    <row r="64" spans="1:22" x14ac:dyDescent="0.25">
      <c r="A64" t="s">
        <v>296</v>
      </c>
      <c r="B64" s="2" t="s">
        <v>297</v>
      </c>
      <c r="C64" s="2">
        <f t="shared" si="2"/>
        <v>27000</v>
      </c>
      <c r="E64" s="11" t="s">
        <v>193</v>
      </c>
      <c r="F64" t="s">
        <v>494</v>
      </c>
      <c r="G64" s="8" t="s">
        <v>4</v>
      </c>
      <c r="H64" s="1">
        <f t="shared" si="3"/>
        <v>10000000</v>
      </c>
      <c r="I64" s="5"/>
      <c r="V64" t="s">
        <v>140</v>
      </c>
    </row>
    <row r="65" spans="1:22" x14ac:dyDescent="0.25">
      <c r="A65" t="s">
        <v>302</v>
      </c>
      <c r="B65" s="2" t="s">
        <v>303</v>
      </c>
      <c r="C65" s="2">
        <f t="shared" si="2"/>
        <v>28000</v>
      </c>
      <c r="E65" s="11" t="s">
        <v>193</v>
      </c>
      <c r="F65" t="s">
        <v>496</v>
      </c>
      <c r="G65" s="8" t="s">
        <v>208</v>
      </c>
      <c r="H65" s="1">
        <f t="shared" si="3"/>
        <v>10000000</v>
      </c>
      <c r="I65" s="5"/>
      <c r="J65" s="3" t="s">
        <v>192</v>
      </c>
      <c r="V65" t="s">
        <v>141</v>
      </c>
    </row>
    <row r="66" spans="1:22" x14ac:dyDescent="0.25">
      <c r="B66" s="2" t="s">
        <v>238</v>
      </c>
      <c r="C66">
        <f t="shared" si="2"/>
        <v>30000</v>
      </c>
      <c r="E66" s="12" t="s">
        <v>193</v>
      </c>
      <c r="F66" t="s">
        <v>498</v>
      </c>
      <c r="G66" s="5" t="s">
        <v>400</v>
      </c>
      <c r="H66" s="1">
        <f t="shared" si="3"/>
        <v>10000000</v>
      </c>
      <c r="I66" s="5" t="s">
        <v>401</v>
      </c>
      <c r="J66" s="15" t="s">
        <v>202</v>
      </c>
      <c r="V66" t="s">
        <v>142</v>
      </c>
    </row>
    <row r="67" spans="1:22" x14ac:dyDescent="0.25">
      <c r="A67" t="s">
        <v>277</v>
      </c>
      <c r="B67" s="2" t="s">
        <v>278</v>
      </c>
      <c r="C67" s="2">
        <f t="shared" ref="C67:C84" si="4">IF(RIGHT(B67,1)="k", VALUE(LEFT(B67,LEN(B67)-1))*1000, VALUE(B67))</f>
        <v>30000</v>
      </c>
      <c r="E67" s="11" t="s">
        <v>193</v>
      </c>
      <c r="F67" t="s">
        <v>500</v>
      </c>
      <c r="G67" s="5" t="s">
        <v>400</v>
      </c>
      <c r="H67" s="1">
        <f t="shared" ref="H67:H98" si="5">IF(ISNUMBER(SEARCH("pF",G67)), VALUE(LEFT(G67,SEARCH("pF",G67)-1)),
 IF(ISNUMBER(SEARCH("nF",G67)), VALUE(LEFT(G67,SEARCH("nF",G67)-1))*1000,
 IF(ISNUMBER(SEARCH("uF",G67)), VALUE(LEFT(G67,SEARCH("uF",G67)-1))*1000000,"")))</f>
        <v>10000000</v>
      </c>
      <c r="I67" s="5" t="s">
        <v>232</v>
      </c>
      <c r="J67" s="3" t="s">
        <v>454</v>
      </c>
      <c r="V67" t="s">
        <v>143</v>
      </c>
    </row>
    <row r="68" spans="1:22" x14ac:dyDescent="0.25">
      <c r="A68" t="s">
        <v>291</v>
      </c>
      <c r="B68" s="2" t="s">
        <v>278</v>
      </c>
      <c r="C68" s="2">
        <f t="shared" si="4"/>
        <v>30000</v>
      </c>
      <c r="E68" s="11" t="s">
        <v>193</v>
      </c>
      <c r="F68" t="s">
        <v>502</v>
      </c>
      <c r="G68" t="s">
        <v>519</v>
      </c>
      <c r="H68" s="1">
        <f t="shared" si="5"/>
        <v>10000000</v>
      </c>
      <c r="I68">
        <v>6.3</v>
      </c>
      <c r="J68" s="3" t="s">
        <v>193</v>
      </c>
      <c r="V68" t="s">
        <v>144</v>
      </c>
    </row>
    <row r="69" spans="1:22" x14ac:dyDescent="0.25">
      <c r="A69" t="s">
        <v>310</v>
      </c>
      <c r="B69" s="2" t="s">
        <v>278</v>
      </c>
      <c r="C69" s="2">
        <f t="shared" si="4"/>
        <v>30000</v>
      </c>
      <c r="E69" s="11" t="s">
        <v>193</v>
      </c>
      <c r="F69" t="s">
        <v>503</v>
      </c>
      <c r="G69" s="5" t="s">
        <v>407</v>
      </c>
      <c r="H69" s="1">
        <f t="shared" si="5"/>
        <v>15000000</v>
      </c>
      <c r="I69" s="5" t="s">
        <v>401</v>
      </c>
      <c r="J69" s="15" t="s">
        <v>219</v>
      </c>
      <c r="V69" t="s">
        <v>145</v>
      </c>
    </row>
    <row r="70" spans="1:22" x14ac:dyDescent="0.25">
      <c r="B70" s="2" t="s">
        <v>199</v>
      </c>
      <c r="C70">
        <f t="shared" si="4"/>
        <v>38300</v>
      </c>
      <c r="E70" s="12" t="s">
        <v>192</v>
      </c>
      <c r="F70" t="s">
        <v>505</v>
      </c>
      <c r="G70" s="8" t="s">
        <v>225</v>
      </c>
      <c r="H70" s="1">
        <f t="shared" si="5"/>
        <v>16000000</v>
      </c>
      <c r="I70" s="5"/>
      <c r="J70" s="3" t="s">
        <v>224</v>
      </c>
      <c r="V70" t="s">
        <v>146</v>
      </c>
    </row>
    <row r="71" spans="1:22" x14ac:dyDescent="0.25">
      <c r="B71" s="2" t="s">
        <v>198</v>
      </c>
      <c r="C71">
        <f t="shared" si="4"/>
        <v>47000</v>
      </c>
      <c r="E71" s="12" t="s">
        <v>192</v>
      </c>
      <c r="F71" t="s">
        <v>507</v>
      </c>
      <c r="G71" s="5" t="s">
        <v>389</v>
      </c>
      <c r="H71" s="1">
        <f t="shared" si="5"/>
        <v>22000000</v>
      </c>
      <c r="I71" s="5" t="s">
        <v>232</v>
      </c>
      <c r="J71" s="15" t="s">
        <v>202</v>
      </c>
      <c r="V71" t="s">
        <v>147</v>
      </c>
    </row>
    <row r="72" spans="1:22" x14ac:dyDescent="0.25">
      <c r="B72" s="2" t="s">
        <v>237</v>
      </c>
      <c r="C72">
        <f t="shared" si="4"/>
        <v>60400</v>
      </c>
      <c r="E72" s="12" t="s">
        <v>201</v>
      </c>
      <c r="F72" t="s">
        <v>509</v>
      </c>
      <c r="G72" s="5" t="s">
        <v>389</v>
      </c>
      <c r="H72" s="1">
        <f t="shared" si="5"/>
        <v>22000000</v>
      </c>
      <c r="I72" s="5" t="s">
        <v>370</v>
      </c>
      <c r="J72" s="15" t="s">
        <v>343</v>
      </c>
      <c r="V72" t="s">
        <v>123</v>
      </c>
    </row>
    <row r="73" spans="1:22" x14ac:dyDescent="0.25">
      <c r="B73" s="2" t="s">
        <v>200</v>
      </c>
      <c r="C73">
        <f t="shared" si="4"/>
        <v>82000</v>
      </c>
      <c r="E73" s="12" t="s">
        <v>192</v>
      </c>
      <c r="F73" t="s">
        <v>511</v>
      </c>
      <c r="G73" s="5" t="s">
        <v>389</v>
      </c>
      <c r="H73" s="1">
        <f t="shared" si="5"/>
        <v>22000000</v>
      </c>
      <c r="I73" s="5" t="s">
        <v>370</v>
      </c>
      <c r="J73" s="15" t="s">
        <v>343</v>
      </c>
      <c r="V73" t="s">
        <v>148</v>
      </c>
    </row>
    <row r="74" spans="1:22" x14ac:dyDescent="0.25">
      <c r="A74" t="s">
        <v>312</v>
      </c>
      <c r="B74" s="2" t="s">
        <v>313</v>
      </c>
      <c r="C74" s="2">
        <f t="shared" si="4"/>
        <v>88700</v>
      </c>
      <c r="F74" t="s">
        <v>513</v>
      </c>
      <c r="G74" s="5" t="s">
        <v>389</v>
      </c>
      <c r="H74" s="1">
        <f t="shared" si="5"/>
        <v>22000000</v>
      </c>
      <c r="I74" s="5" t="s">
        <v>382</v>
      </c>
      <c r="V74" t="s">
        <v>149</v>
      </c>
    </row>
    <row r="75" spans="1:22" x14ac:dyDescent="0.25">
      <c r="A75" t="s">
        <v>285</v>
      </c>
      <c r="B75" s="2" t="s">
        <v>286</v>
      </c>
      <c r="C75" s="2">
        <f t="shared" si="4"/>
        <v>102000</v>
      </c>
      <c r="E75" s="11" t="s">
        <v>193</v>
      </c>
      <c r="F75" t="s">
        <v>515</v>
      </c>
      <c r="G75" s="5" t="s">
        <v>389</v>
      </c>
      <c r="H75" s="1">
        <f t="shared" si="5"/>
        <v>22000000</v>
      </c>
      <c r="I75" s="5" t="s">
        <v>232</v>
      </c>
      <c r="J75" s="15" t="s">
        <v>219</v>
      </c>
      <c r="V75" t="s">
        <v>150</v>
      </c>
    </row>
    <row r="76" spans="1:22" x14ac:dyDescent="0.25">
      <c r="A76" t="s">
        <v>311</v>
      </c>
      <c r="B76" s="2" t="s">
        <v>286</v>
      </c>
      <c r="C76" s="2">
        <f t="shared" si="4"/>
        <v>102000</v>
      </c>
      <c r="E76" s="11" t="s">
        <v>193</v>
      </c>
      <c r="F76" t="s">
        <v>516</v>
      </c>
      <c r="G76" s="5" t="s">
        <v>391</v>
      </c>
      <c r="H76" s="1">
        <f t="shared" si="5"/>
        <v>33000000</v>
      </c>
      <c r="I76" s="5" t="s">
        <v>232</v>
      </c>
      <c r="J76" s="15" t="s">
        <v>202</v>
      </c>
      <c r="V76" t="s">
        <v>151</v>
      </c>
    </row>
    <row r="77" spans="1:22" x14ac:dyDescent="0.25">
      <c r="A77" t="s">
        <v>283</v>
      </c>
      <c r="B77" s="2" t="s">
        <v>284</v>
      </c>
      <c r="C77" s="2">
        <f t="shared" si="4"/>
        <v>120000</v>
      </c>
      <c r="E77" s="11" t="s">
        <v>193</v>
      </c>
      <c r="F77" t="s">
        <v>518</v>
      </c>
      <c r="G77" s="5" t="s">
        <v>397</v>
      </c>
      <c r="H77" s="1">
        <f t="shared" si="5"/>
        <v>47000000</v>
      </c>
      <c r="I77" s="5" t="s">
        <v>370</v>
      </c>
      <c r="J77" s="15" t="s">
        <v>202</v>
      </c>
      <c r="V77" t="s">
        <v>152</v>
      </c>
    </row>
    <row r="78" spans="1:22" x14ac:dyDescent="0.25">
      <c r="A78" t="s">
        <v>330</v>
      </c>
      <c r="B78" t="s">
        <v>331</v>
      </c>
      <c r="C78">
        <f t="shared" si="4"/>
        <v>140000</v>
      </c>
      <c r="E78" s="12" t="s">
        <v>315</v>
      </c>
      <c r="F78" t="s">
        <v>520</v>
      </c>
      <c r="G78" s="5" t="s">
        <v>397</v>
      </c>
      <c r="H78" s="1">
        <f t="shared" si="5"/>
        <v>47000000</v>
      </c>
      <c r="I78" s="5" t="s">
        <v>382</v>
      </c>
      <c r="J78" s="15" t="s">
        <v>219</v>
      </c>
      <c r="V78" t="s">
        <v>458</v>
      </c>
    </row>
    <row r="79" spans="1:22" x14ac:dyDescent="0.25">
      <c r="A79" t="s">
        <v>281</v>
      </c>
      <c r="B79" s="2" t="s">
        <v>282</v>
      </c>
      <c r="C79" s="2">
        <f t="shared" si="4"/>
        <v>150000</v>
      </c>
      <c r="E79" s="11" t="s">
        <v>193</v>
      </c>
      <c r="F79" t="s">
        <v>494</v>
      </c>
      <c r="G79" s="5" t="s">
        <v>394</v>
      </c>
      <c r="H79" s="1">
        <f t="shared" si="5"/>
        <v>100000000</v>
      </c>
      <c r="I79" s="5" t="s">
        <v>382</v>
      </c>
      <c r="J79" s="15" t="s">
        <v>224</v>
      </c>
    </row>
    <row r="80" spans="1:22" x14ac:dyDescent="0.25">
      <c r="A80" t="s">
        <v>326</v>
      </c>
      <c r="B80" t="s">
        <v>327</v>
      </c>
      <c r="C80">
        <f t="shared" si="4"/>
        <v>180000</v>
      </c>
      <c r="E80" s="12" t="s">
        <v>315</v>
      </c>
      <c r="F80" t="s">
        <v>521</v>
      </c>
      <c r="G80" s="2" t="s">
        <v>15</v>
      </c>
      <c r="H80" s="1">
        <f t="shared" si="5"/>
        <v>220000000</v>
      </c>
      <c r="I80" s="5"/>
    </row>
    <row r="81" spans="1:15" x14ac:dyDescent="0.25">
      <c r="B81" s="2" t="s">
        <v>236</v>
      </c>
      <c r="C81">
        <f t="shared" si="4"/>
        <v>191000</v>
      </c>
      <c r="E81" s="12" t="s">
        <v>201</v>
      </c>
      <c r="F81" t="s">
        <v>523</v>
      </c>
      <c r="G81" s="8" t="s">
        <v>213</v>
      </c>
      <c r="H81" s="1">
        <f t="shared" si="5"/>
        <v>220000000</v>
      </c>
      <c r="I81" s="5"/>
      <c r="J81" s="3" t="s">
        <v>214</v>
      </c>
    </row>
    <row r="82" spans="1:15" x14ac:dyDescent="0.25">
      <c r="B82" s="2" t="s">
        <v>235</v>
      </c>
      <c r="C82">
        <f t="shared" si="4"/>
        <v>200000</v>
      </c>
      <c r="E82" s="12" t="s">
        <v>195</v>
      </c>
      <c r="F82" t="s">
        <v>525</v>
      </c>
      <c r="G82" s="8" t="s">
        <v>231</v>
      </c>
      <c r="H82" s="1">
        <f t="shared" si="5"/>
        <v>220000000</v>
      </c>
      <c r="I82" s="5" t="s">
        <v>232</v>
      </c>
      <c r="J82" s="3" t="s">
        <v>214</v>
      </c>
      <c r="M82" s="16"/>
      <c r="N82" s="16"/>
      <c r="O82" s="16"/>
    </row>
    <row r="83" spans="1:15" x14ac:dyDescent="0.25">
      <c r="A83" t="s">
        <v>328</v>
      </c>
      <c r="B83" t="s">
        <v>329</v>
      </c>
      <c r="C83">
        <f t="shared" si="4"/>
        <v>249000</v>
      </c>
      <c r="E83" s="12" t="s">
        <v>315</v>
      </c>
      <c r="F83" t="s">
        <v>527</v>
      </c>
      <c r="G83" s="2" t="s">
        <v>17</v>
      </c>
      <c r="H83" s="1">
        <f t="shared" si="5"/>
        <v>330000000</v>
      </c>
      <c r="I83" s="4"/>
      <c r="M83" s="16"/>
      <c r="N83" s="16"/>
      <c r="O83" s="16"/>
    </row>
    <row r="84" spans="1:15" x14ac:dyDescent="0.25">
      <c r="B84" s="2" t="s">
        <v>234</v>
      </c>
      <c r="C84">
        <f t="shared" si="4"/>
        <v>250000</v>
      </c>
      <c r="E84" s="12" t="s">
        <v>195</v>
      </c>
      <c r="F84" t="s">
        <v>528</v>
      </c>
      <c r="G84" s="2" t="s">
        <v>16</v>
      </c>
      <c r="H84" s="1">
        <f t="shared" si="5"/>
        <v>470000000</v>
      </c>
      <c r="I84" s="5"/>
      <c r="M84" s="16"/>
      <c r="N84" s="16"/>
      <c r="O84" s="16"/>
    </row>
    <row r="85" spans="1:15" x14ac:dyDescent="0.25">
      <c r="A85" t="s">
        <v>273</v>
      </c>
      <c r="B85" s="2" t="s">
        <v>233</v>
      </c>
      <c r="C85">
        <f>IF(RIGHT(B85,1)="K",VALUE(LEFT(B85,LEN(B85)-1))*1000,VALUE(B85))</f>
        <v>634000</v>
      </c>
      <c r="E85" s="12" t="s">
        <v>195</v>
      </c>
      <c r="M85" s="16"/>
      <c r="N85" s="16"/>
      <c r="O85" s="16"/>
    </row>
    <row r="86" spans="1:15" x14ac:dyDescent="0.25">
      <c r="A86" t="s">
        <v>344</v>
      </c>
      <c r="B86" s="2" t="s">
        <v>345</v>
      </c>
      <c r="C86">
        <f>IF(RIGHT(B86,1)="K",VALUE(LEFT(B86,LEN(B86)-1))*1000,VALUE(B86))</f>
        <v>82000</v>
      </c>
      <c r="E86" s="11" t="s">
        <v>193</v>
      </c>
      <c r="M86" s="16"/>
      <c r="N86" s="16"/>
      <c r="O86" s="16"/>
    </row>
    <row r="87" spans="1:15" x14ac:dyDescent="0.25">
      <c r="A87" t="s">
        <v>346</v>
      </c>
      <c r="B87">
        <v>3.16</v>
      </c>
      <c r="C87">
        <f t="shared" ref="C87:C130" si="6">IF(RIGHT(B87,1)="K",VALUE(LEFT(B87,LEN(B87)-1))*1000,VALUE(B87))</f>
        <v>3.16</v>
      </c>
    </row>
    <row r="88" spans="1:15" x14ac:dyDescent="0.25">
      <c r="A88" t="s">
        <v>347</v>
      </c>
      <c r="B88" s="2" t="s">
        <v>348</v>
      </c>
      <c r="C88">
        <f t="shared" si="6"/>
        <v>3600</v>
      </c>
      <c r="E88" s="11" t="s">
        <v>193</v>
      </c>
    </row>
    <row r="89" spans="1:15" x14ac:dyDescent="0.25">
      <c r="A89" t="s">
        <v>349</v>
      </c>
      <c r="B89" s="2" t="s">
        <v>348</v>
      </c>
      <c r="C89">
        <f t="shared" si="6"/>
        <v>3600</v>
      </c>
      <c r="E89" s="11" t="s">
        <v>193</v>
      </c>
    </row>
    <row r="90" spans="1:15" x14ac:dyDescent="0.25">
      <c r="A90" t="s">
        <v>350</v>
      </c>
      <c r="B90">
        <v>150</v>
      </c>
      <c r="C90">
        <f t="shared" si="6"/>
        <v>150</v>
      </c>
      <c r="E90" s="11" t="s">
        <v>193</v>
      </c>
    </row>
    <row r="91" spans="1:15" x14ac:dyDescent="0.25">
      <c r="A91" t="s">
        <v>351</v>
      </c>
      <c r="B91">
        <v>113</v>
      </c>
      <c r="C91">
        <f t="shared" si="6"/>
        <v>113</v>
      </c>
      <c r="E91" s="11" t="s">
        <v>202</v>
      </c>
    </row>
    <row r="92" spans="1:15" x14ac:dyDescent="0.25">
      <c r="A92" t="s">
        <v>352</v>
      </c>
      <c r="B92" t="s">
        <v>353</v>
      </c>
      <c r="C92">
        <f t="shared" si="6"/>
        <v>4990</v>
      </c>
      <c r="E92" s="11" t="s">
        <v>193</v>
      </c>
    </row>
    <row r="93" spans="1:15" x14ac:dyDescent="0.25">
      <c r="A93" t="s">
        <v>354</v>
      </c>
      <c r="B93">
        <v>10</v>
      </c>
      <c r="C93">
        <f t="shared" si="6"/>
        <v>10</v>
      </c>
      <c r="E93" s="11" t="s">
        <v>193</v>
      </c>
    </row>
    <row r="94" spans="1:15" x14ac:dyDescent="0.25">
      <c r="A94" t="s">
        <v>355</v>
      </c>
      <c r="B94">
        <v>402</v>
      </c>
      <c r="C94">
        <f t="shared" si="6"/>
        <v>402</v>
      </c>
      <c r="E94" s="11" t="s">
        <v>219</v>
      </c>
    </row>
    <row r="95" spans="1:15" x14ac:dyDescent="0.25">
      <c r="A95" t="s">
        <v>356</v>
      </c>
      <c r="B95" t="s">
        <v>357</v>
      </c>
      <c r="C95">
        <f t="shared" si="6"/>
        <v>1500</v>
      </c>
      <c r="E95" s="11" t="s">
        <v>219</v>
      </c>
    </row>
    <row r="96" spans="1:15" x14ac:dyDescent="0.25">
      <c r="A96" t="s">
        <v>358</v>
      </c>
      <c r="B96">
        <v>267</v>
      </c>
      <c r="C96">
        <f t="shared" si="6"/>
        <v>267</v>
      </c>
      <c r="E96" s="11" t="s">
        <v>202</v>
      </c>
    </row>
    <row r="97" spans="1:5" x14ac:dyDescent="0.25">
      <c r="A97" t="s">
        <v>359</v>
      </c>
      <c r="B97">
        <v>51</v>
      </c>
      <c r="C97">
        <f t="shared" si="6"/>
        <v>51</v>
      </c>
      <c r="E97" s="11" t="s">
        <v>193</v>
      </c>
    </row>
    <row r="98" spans="1:5" x14ac:dyDescent="0.25">
      <c r="A98" t="s">
        <v>360</v>
      </c>
      <c r="B98" t="s">
        <v>361</v>
      </c>
      <c r="C98">
        <f t="shared" si="6"/>
        <v>10000</v>
      </c>
      <c r="E98" s="11" t="s">
        <v>219</v>
      </c>
    </row>
    <row r="99" spans="1:5" x14ac:dyDescent="0.25">
      <c r="A99" t="s">
        <v>362</v>
      </c>
      <c r="B99">
        <v>15</v>
      </c>
      <c r="C99">
        <f t="shared" si="6"/>
        <v>15</v>
      </c>
      <c r="E99" s="11" t="s">
        <v>219</v>
      </c>
    </row>
    <row r="100" spans="1:5" x14ac:dyDescent="0.25">
      <c r="A100" t="s">
        <v>363</v>
      </c>
      <c r="B100">
        <v>56</v>
      </c>
      <c r="C100">
        <f t="shared" si="6"/>
        <v>56</v>
      </c>
    </row>
    <row r="101" spans="1:5" x14ac:dyDescent="0.25">
      <c r="A101" t="s">
        <v>364</v>
      </c>
      <c r="B101">
        <v>220</v>
      </c>
      <c r="C101">
        <f t="shared" si="6"/>
        <v>220</v>
      </c>
      <c r="E101" s="11" t="s">
        <v>202</v>
      </c>
    </row>
    <row r="102" spans="1:5" x14ac:dyDescent="0.25">
      <c r="A102" t="s">
        <v>365</v>
      </c>
      <c r="B102" t="s">
        <v>366</v>
      </c>
      <c r="C102">
        <f t="shared" si="6"/>
        <v>1300</v>
      </c>
      <c r="E102" s="11" t="s">
        <v>202</v>
      </c>
    </row>
    <row r="103" spans="1:5" x14ac:dyDescent="0.25">
      <c r="A103" t="s">
        <v>367</v>
      </c>
      <c r="B103">
        <v>100</v>
      </c>
      <c r="C103">
        <f t="shared" si="6"/>
        <v>100</v>
      </c>
      <c r="E103" s="11" t="s">
        <v>193</v>
      </c>
    </row>
    <row r="104" spans="1:5" x14ac:dyDescent="0.25">
      <c r="A104" t="s">
        <v>416</v>
      </c>
      <c r="B104" t="s">
        <v>295</v>
      </c>
      <c r="C104">
        <f t="shared" si="6"/>
        <v>20000</v>
      </c>
      <c r="E104" s="11" t="s">
        <v>219</v>
      </c>
    </row>
    <row r="105" spans="1:5" x14ac:dyDescent="0.25">
      <c r="A105" t="s">
        <v>417</v>
      </c>
      <c r="B105" t="s">
        <v>418</v>
      </c>
      <c r="C105">
        <f t="shared" si="6"/>
        <v>8450</v>
      </c>
      <c r="E105" s="11" t="s">
        <v>219</v>
      </c>
    </row>
    <row r="106" spans="1:5" x14ac:dyDescent="0.25">
      <c r="A106" t="s">
        <v>419</v>
      </c>
      <c r="B106" t="s">
        <v>418</v>
      </c>
      <c r="C106">
        <f t="shared" si="6"/>
        <v>8450</v>
      </c>
      <c r="E106" s="11" t="s">
        <v>193</v>
      </c>
    </row>
    <row r="107" spans="1:5" x14ac:dyDescent="0.25">
      <c r="A107" t="s">
        <v>420</v>
      </c>
      <c r="B107">
        <v>56.2</v>
      </c>
      <c r="C107">
        <f t="shared" si="6"/>
        <v>56.2</v>
      </c>
      <c r="E107" s="11" t="s">
        <v>219</v>
      </c>
    </row>
    <row r="108" spans="1:5" x14ac:dyDescent="0.25">
      <c r="A108" t="s">
        <v>440</v>
      </c>
      <c r="B108" t="s">
        <v>441</v>
      </c>
      <c r="C108">
        <f t="shared" si="6"/>
        <v>95300</v>
      </c>
      <c r="E108" s="11" t="s">
        <v>193</v>
      </c>
    </row>
    <row r="109" spans="1:5" x14ac:dyDescent="0.25">
      <c r="A109" t="s">
        <v>449</v>
      </c>
      <c r="C109">
        <f t="shared" si="6"/>
        <v>0</v>
      </c>
    </row>
    <row r="110" spans="1:5" x14ac:dyDescent="0.25">
      <c r="A110" t="s">
        <v>450</v>
      </c>
      <c r="B110">
        <v>100</v>
      </c>
      <c r="C110">
        <f t="shared" si="6"/>
        <v>100</v>
      </c>
      <c r="E110" s="11" t="s">
        <v>192</v>
      </c>
    </row>
    <row r="111" spans="1:5" x14ac:dyDescent="0.25">
      <c r="A111" t="s">
        <v>451</v>
      </c>
      <c r="B111">
        <v>88</v>
      </c>
      <c r="C111">
        <f t="shared" si="6"/>
        <v>88</v>
      </c>
      <c r="E111" s="11" t="s">
        <v>192</v>
      </c>
    </row>
    <row r="112" spans="1:5" x14ac:dyDescent="0.25">
      <c r="A112" t="s">
        <v>452</v>
      </c>
      <c r="B112">
        <v>50</v>
      </c>
      <c r="C112">
        <f t="shared" si="6"/>
        <v>50</v>
      </c>
      <c r="E112" s="11" t="s">
        <v>193</v>
      </c>
    </row>
    <row r="113" spans="1:5" x14ac:dyDescent="0.25">
      <c r="A113" t="s">
        <v>456</v>
      </c>
      <c r="B113">
        <v>500</v>
      </c>
      <c r="C113">
        <f t="shared" si="6"/>
        <v>500</v>
      </c>
      <c r="E113" s="11" t="s">
        <v>192</v>
      </c>
    </row>
    <row r="114" spans="1:5" x14ac:dyDescent="0.25">
      <c r="A114" t="s">
        <v>457</v>
      </c>
      <c r="B114">
        <v>200</v>
      </c>
      <c r="C114">
        <f t="shared" si="6"/>
        <v>200</v>
      </c>
      <c r="E114" s="11" t="s">
        <v>192</v>
      </c>
    </row>
    <row r="115" spans="1:5" x14ac:dyDescent="0.25">
      <c r="A115" t="s">
        <v>461</v>
      </c>
      <c r="B115">
        <v>150</v>
      </c>
      <c r="C115">
        <f t="shared" si="6"/>
        <v>150</v>
      </c>
      <c r="E115" s="11" t="s">
        <v>192</v>
      </c>
    </row>
    <row r="116" spans="1:5" x14ac:dyDescent="0.25">
      <c r="A116" t="s">
        <v>464</v>
      </c>
      <c r="B116">
        <v>0</v>
      </c>
      <c r="C116">
        <f t="shared" si="6"/>
        <v>0</v>
      </c>
      <c r="E116" s="11" t="s">
        <v>193</v>
      </c>
    </row>
    <row r="117" spans="1:5" x14ac:dyDescent="0.25">
      <c r="A117" t="s">
        <v>465</v>
      </c>
      <c r="B117">
        <v>91</v>
      </c>
      <c r="C117">
        <f t="shared" si="6"/>
        <v>91</v>
      </c>
      <c r="E117" s="11" t="s">
        <v>193</v>
      </c>
    </row>
    <row r="118" spans="1:5" x14ac:dyDescent="0.25">
      <c r="A118" t="s">
        <v>466</v>
      </c>
      <c r="B118">
        <v>165</v>
      </c>
      <c r="C118">
        <f t="shared" si="6"/>
        <v>165</v>
      </c>
      <c r="E118" s="13">
        <v>1206</v>
      </c>
    </row>
    <row r="119" spans="1:5" x14ac:dyDescent="0.25">
      <c r="A119" t="s">
        <v>467</v>
      </c>
      <c r="B119">
        <v>0</v>
      </c>
      <c r="C119">
        <f t="shared" si="6"/>
        <v>0</v>
      </c>
    </row>
    <row r="120" spans="1:5" x14ac:dyDescent="0.25">
      <c r="A120" t="s">
        <v>468</v>
      </c>
      <c r="B120" t="s">
        <v>469</v>
      </c>
      <c r="C120">
        <f t="shared" si="6"/>
        <v>1620</v>
      </c>
      <c r="E120" s="11" t="s">
        <v>193</v>
      </c>
    </row>
    <row r="121" spans="1:5" x14ac:dyDescent="0.25">
      <c r="A121" t="s">
        <v>470</v>
      </c>
      <c r="B121" t="s">
        <v>471</v>
      </c>
      <c r="C121" t="e">
        <f t="shared" si="6"/>
        <v>#VALUE!</v>
      </c>
      <c r="E121" s="11" t="s">
        <v>193</v>
      </c>
    </row>
    <row r="122" spans="1:5" x14ac:dyDescent="0.25">
      <c r="A122" t="s">
        <v>472</v>
      </c>
      <c r="B122">
        <v>287</v>
      </c>
      <c r="C122">
        <f t="shared" si="6"/>
        <v>287</v>
      </c>
      <c r="E122" s="11" t="s">
        <v>192</v>
      </c>
    </row>
    <row r="123" spans="1:5" x14ac:dyDescent="0.25">
      <c r="A123" t="s">
        <v>473</v>
      </c>
      <c r="B123">
        <v>43.2</v>
      </c>
      <c r="C123">
        <f t="shared" si="6"/>
        <v>43.2</v>
      </c>
      <c r="E123" s="11" t="s">
        <v>219</v>
      </c>
    </row>
    <row r="124" spans="1:5" x14ac:dyDescent="0.25">
      <c r="A124" t="s">
        <v>474</v>
      </c>
      <c r="B124">
        <v>3.9</v>
      </c>
      <c r="C124">
        <f t="shared" si="6"/>
        <v>3.9</v>
      </c>
      <c r="E124" s="11" t="s">
        <v>219</v>
      </c>
    </row>
    <row r="125" spans="1:5" x14ac:dyDescent="0.25">
      <c r="A125" t="s">
        <v>475</v>
      </c>
      <c r="B125" t="s">
        <v>476</v>
      </c>
      <c r="C125">
        <f t="shared" si="6"/>
        <v>41200</v>
      </c>
      <c r="E125" s="11" t="s">
        <v>193</v>
      </c>
    </row>
    <row r="126" spans="1:5" x14ac:dyDescent="0.25">
      <c r="A126" t="s">
        <v>477</v>
      </c>
      <c r="B126">
        <v>243</v>
      </c>
      <c r="C126">
        <f t="shared" si="6"/>
        <v>243</v>
      </c>
      <c r="E126" s="13">
        <v>1206</v>
      </c>
    </row>
    <row r="127" spans="1:5" x14ac:dyDescent="0.25">
      <c r="A127" t="s">
        <v>478</v>
      </c>
      <c r="B127">
        <v>47</v>
      </c>
      <c r="C127">
        <f t="shared" si="6"/>
        <v>47</v>
      </c>
      <c r="E127" s="13">
        <v>1206</v>
      </c>
    </row>
    <row r="128" spans="1:5" x14ac:dyDescent="0.25">
      <c r="A128" t="s">
        <v>479</v>
      </c>
      <c r="B128" t="s">
        <v>480</v>
      </c>
      <c r="C128">
        <f t="shared" si="6"/>
        <v>62000</v>
      </c>
      <c r="E128" s="11" t="s">
        <v>193</v>
      </c>
    </row>
    <row r="129" spans="1:5" x14ac:dyDescent="0.25">
      <c r="A129" t="s">
        <v>481</v>
      </c>
      <c r="B129">
        <v>470</v>
      </c>
      <c r="C129">
        <f t="shared" si="6"/>
        <v>470</v>
      </c>
      <c r="E129" s="13">
        <v>1206</v>
      </c>
    </row>
    <row r="130" spans="1:5" x14ac:dyDescent="0.25">
      <c r="A130" t="s">
        <v>482</v>
      </c>
      <c r="B130" t="s">
        <v>483</v>
      </c>
      <c r="C130">
        <f t="shared" si="6"/>
        <v>2870</v>
      </c>
      <c r="E130" s="11" t="s">
        <v>192</v>
      </c>
    </row>
    <row r="131" spans="1:5" x14ac:dyDescent="0.25">
      <c r="A131" t="s">
        <v>484</v>
      </c>
      <c r="B131" t="s">
        <v>485</v>
      </c>
      <c r="C131">
        <f>IF(RIGHT(B131,1)="K",VALUE(LEFT(B131,LEN(B131)-1))*1000,VALUE(B131))</f>
        <v>4990</v>
      </c>
      <c r="E131" s="11" t="s">
        <v>192</v>
      </c>
    </row>
    <row r="132" spans="1:5" x14ac:dyDescent="0.25">
      <c r="A132" t="s">
        <v>486</v>
      </c>
      <c r="B132" t="s">
        <v>247</v>
      </c>
      <c r="C132">
        <f>IF(RIGHT(B132,1)="K",VALUE(LEFT(B132,LEN(B132)-1))*1000,VALUE(B132))</f>
        <v>1000</v>
      </c>
      <c r="E132" s="13">
        <v>1206</v>
      </c>
    </row>
    <row r="133" spans="1:5" x14ac:dyDescent="0.25">
      <c r="A133" t="s">
        <v>487</v>
      </c>
      <c r="B133">
        <v>10</v>
      </c>
      <c r="C133">
        <f t="shared" ref="C133:C138" si="7">IF(RIGHT(B133,1)="K",VALUE(LEFT(B133,LEN(B133)-1))*1000,VALUE(B133))</f>
        <v>10</v>
      </c>
      <c r="E133" s="11" t="s">
        <v>193</v>
      </c>
    </row>
    <row r="134" spans="1:5" x14ac:dyDescent="0.25">
      <c r="A134" t="s">
        <v>488</v>
      </c>
      <c r="B134">
        <v>60.4</v>
      </c>
      <c r="C134">
        <f t="shared" si="7"/>
        <v>60.4</v>
      </c>
      <c r="E134" s="13">
        <v>1206</v>
      </c>
    </row>
    <row r="135" spans="1:5" x14ac:dyDescent="0.25">
      <c r="A135" t="s">
        <v>489</v>
      </c>
      <c r="B135" t="s">
        <v>490</v>
      </c>
      <c r="C135">
        <f t="shared" si="7"/>
        <v>2000</v>
      </c>
      <c r="E135" s="11" t="s">
        <v>193</v>
      </c>
    </row>
    <row r="136" spans="1:5" x14ac:dyDescent="0.25">
      <c r="A136" t="s">
        <v>491</v>
      </c>
      <c r="B136" t="s">
        <v>247</v>
      </c>
      <c r="C136">
        <f t="shared" si="7"/>
        <v>1000</v>
      </c>
      <c r="E136" s="11" t="s">
        <v>192</v>
      </c>
    </row>
    <row r="137" spans="1:5" x14ac:dyDescent="0.25">
      <c r="A137" t="s">
        <v>492</v>
      </c>
      <c r="B137">
        <v>100</v>
      </c>
      <c r="C137">
        <f t="shared" si="7"/>
        <v>100</v>
      </c>
      <c r="E137" s="13">
        <v>1206</v>
      </c>
    </row>
    <row r="138" spans="1:5" x14ac:dyDescent="0.25">
      <c r="A138" t="s">
        <v>493</v>
      </c>
      <c r="B138" t="s">
        <v>235</v>
      </c>
      <c r="C138">
        <f t="shared" si="7"/>
        <v>200000</v>
      </c>
      <c r="E138" s="11" t="s">
        <v>193</v>
      </c>
    </row>
  </sheetData>
  <sortState xmlns:xlrd2="http://schemas.microsoft.com/office/spreadsheetml/2017/richdata2" ref="G3:J84">
    <sortCondition ref="H3:H84"/>
  </sortState>
  <mergeCells count="5">
    <mergeCell ref="AE1:AH1"/>
    <mergeCell ref="A1:E1"/>
    <mergeCell ref="F1:J1"/>
    <mergeCell ref="K1:N1"/>
    <mergeCell ref="P1:Q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_0201</vt:lpstr>
      <vt:lpstr>Sheet1!daass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Lai Coco</cp:lastModifiedBy>
  <dcterms:created xsi:type="dcterms:W3CDTF">2025-11-14T18:05:50Z</dcterms:created>
  <dcterms:modified xsi:type="dcterms:W3CDTF">2025-12-16T01:02:40Z</dcterms:modified>
</cp:coreProperties>
</file>