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wave\Desktop\share document\"/>
    </mc:Choice>
  </mc:AlternateContent>
  <xr:revisionPtr revIDLastSave="0" documentId="13_ncr:1_{203001B0-F2E2-4046-ACF0-40AD47AA8B27}" xr6:coauthVersionLast="36" xr6:coauthVersionMax="47" xr10:uidLastSave="{00000000-0000-0000-0000-000000000000}"/>
  <bookViews>
    <workbookView xWindow="-120" yWindow="-120" windowWidth="25440" windowHeight="15396" activeTab="1" xr2:uid="{4EF1B334-B9A4-468B-ADB9-1CC422E31F4C}"/>
  </bookViews>
  <sheets>
    <sheet name="Resistor" sheetId="1" r:id="rId1"/>
    <sheet name="Capacitor" sheetId="2" r:id="rId2"/>
    <sheet name="Inductor" sheetId="3" r:id="rId3"/>
    <sheet name="Filter" sheetId="5" r:id="rId4"/>
    <sheet name="VCO" sheetId="6" r:id="rId5"/>
    <sheet name="Mixer" sheetId="8" r:id="rId6"/>
    <sheet name="Amplifier" sheetId="4" r:id="rId7"/>
    <sheet name="Regulator" sheetId="7" r:id="rId8"/>
    <sheet name="Connector" sheetId="10" r:id="rId9"/>
    <sheet name="Multiplier" sheetId="9" r:id="rId10"/>
    <sheet name="Switch" sheetId="11" r:id="rId11"/>
    <sheet name="Attenuator" sheetId="12" r:id="rId12"/>
    <sheet name="Ferrite bead " sheetId="15" r:id="rId13"/>
    <sheet name="Fuse" sheetId="14" r:id="rId14"/>
    <sheet name="Other" sheetId="13" r:id="rId15"/>
  </sheets>
  <definedNames>
    <definedName name="_0201">Inductor!$A$3</definedName>
    <definedName name="_xlnm._FilterDatabase" localSheetId="0" hidden="1">Resistor!$A$3:$E$85</definedName>
    <definedName name="daass" comment="sdas" localSheetId="0">Inductor!$A$3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6" i="2" l="1"/>
  <c r="C105" i="2"/>
  <c r="C104" i="2"/>
  <c r="C103" i="2"/>
  <c r="C102" i="2"/>
  <c r="C101" i="2"/>
  <c r="C100" i="2"/>
  <c r="C99" i="2"/>
  <c r="C98" i="2"/>
  <c r="C202" i="1"/>
  <c r="C201" i="1"/>
  <c r="C200" i="1"/>
  <c r="C199" i="1"/>
  <c r="C198" i="1"/>
  <c r="C197" i="1"/>
  <c r="C196" i="1"/>
  <c r="C195" i="1"/>
  <c r="C191" i="1"/>
  <c r="C192" i="1"/>
  <c r="C193" i="1"/>
  <c r="C194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7" i="1"/>
  <c r="C178" i="1"/>
  <c r="C97" i="2"/>
  <c r="C96" i="2"/>
  <c r="C95" i="2"/>
  <c r="C94" i="2"/>
  <c r="C93" i="2"/>
  <c r="C92" i="2"/>
  <c r="C176" i="1"/>
  <c r="C175" i="1"/>
  <c r="C174" i="1"/>
  <c r="C172" i="1"/>
  <c r="C173" i="1"/>
  <c r="C171" i="1"/>
  <c r="C170" i="1"/>
  <c r="C169" i="1"/>
  <c r="C165" i="1"/>
  <c r="C166" i="1"/>
  <c r="C167" i="1"/>
  <c r="C168" i="1"/>
  <c r="C164" i="1"/>
  <c r="C163" i="1"/>
  <c r="C162" i="1"/>
  <c r="C161" i="1"/>
  <c r="C160" i="1"/>
  <c r="C150" i="1"/>
  <c r="C147" i="1"/>
  <c r="C146" i="1"/>
  <c r="C145" i="1"/>
  <c r="C144" i="1"/>
  <c r="C139" i="1"/>
  <c r="C148" i="1"/>
  <c r="C149" i="1"/>
  <c r="C143" i="1"/>
  <c r="C142" i="1" l="1"/>
  <c r="C141" i="1"/>
  <c r="C140" i="1"/>
  <c r="C158" i="1" l="1"/>
  <c r="C159" i="1"/>
  <c r="C91" i="2"/>
  <c r="C90" i="2"/>
  <c r="C89" i="2"/>
  <c r="C157" i="1"/>
  <c r="C88" i="2"/>
  <c r="C152" i="1"/>
  <c r="C153" i="1"/>
  <c r="C154" i="1"/>
  <c r="C155" i="1"/>
  <c r="C156" i="1"/>
  <c r="C151" i="1"/>
  <c r="C87" i="2"/>
  <c r="C86" i="2"/>
  <c r="C82" i="2"/>
  <c r="C81" i="2"/>
  <c r="C83" i="2"/>
  <c r="C84" i="2"/>
  <c r="C85" i="2"/>
  <c r="C80" i="2" l="1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38" i="1" l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1" i="1" l="1"/>
  <c r="C112" i="1"/>
  <c r="C113" i="1"/>
  <c r="C114" i="1"/>
  <c r="C115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87" i="1"/>
  <c r="C88" i="1"/>
  <c r="C89" i="1"/>
  <c r="C86" i="1"/>
  <c r="C6" i="1" l="1"/>
  <c r="C19" i="1"/>
  <c r="C45" i="1"/>
  <c r="C27" i="1"/>
  <c r="C20" i="1"/>
  <c r="C26" i="1"/>
  <c r="C8" i="1"/>
  <c r="C7" i="1"/>
  <c r="C24" i="1"/>
  <c r="C78" i="1"/>
  <c r="C83" i="1"/>
  <c r="C80" i="1"/>
  <c r="C63" i="1"/>
  <c r="C5" i="1"/>
  <c r="C23" i="1"/>
  <c r="C30" i="1"/>
  <c r="C34" i="1"/>
  <c r="C28" i="1"/>
  <c r="C10" i="1"/>
  <c r="C14" i="1"/>
  <c r="C18" i="1"/>
  <c r="C74" i="1" l="1"/>
  <c r="C76" i="1"/>
  <c r="C69" i="1"/>
  <c r="C60" i="1"/>
  <c r="C44" i="1"/>
  <c r="C53" i="1"/>
  <c r="C52" i="1"/>
  <c r="C65" i="1"/>
  <c r="C57" i="1"/>
  <c r="C49" i="1"/>
  <c r="C64" i="1"/>
  <c r="C62" i="1"/>
  <c r="C59" i="1"/>
  <c r="C67" i="1"/>
  <c r="C29" i="1"/>
  <c r="C16" i="1"/>
  <c r="C79" i="1"/>
  <c r="C77" i="1"/>
  <c r="C75" i="1"/>
  <c r="C55" i="1"/>
  <c r="C31" i="1"/>
  <c r="C25" i="1"/>
  <c r="C68" i="1"/>
  <c r="C33" i="1"/>
  <c r="C35" i="1"/>
  <c r="C17" i="1"/>
  <c r="C85" i="1" l="1"/>
  <c r="C84" i="1"/>
  <c r="C81" i="1"/>
  <c r="C4" i="1"/>
  <c r="C40" i="1" l="1"/>
  <c r="C41" i="1"/>
  <c r="C42" i="1"/>
  <c r="C39" i="1"/>
  <c r="C38" i="1"/>
  <c r="C37" i="1"/>
  <c r="C36" i="1"/>
  <c r="C32" i="1"/>
  <c r="C22" i="1"/>
  <c r="C21" i="1"/>
  <c r="C15" i="1"/>
  <c r="C13" i="1"/>
  <c r="C12" i="1"/>
  <c r="C11" i="1"/>
  <c r="C9" i="1"/>
  <c r="C3" i="1"/>
  <c r="C54" i="1"/>
  <c r="C51" i="1"/>
  <c r="C50" i="1"/>
  <c r="C48" i="1"/>
  <c r="C46" i="1"/>
  <c r="C47" i="1"/>
  <c r="C43" i="1"/>
  <c r="C82" i="1"/>
  <c r="C73" i="1"/>
  <c r="C72" i="1"/>
  <c r="C71" i="1"/>
  <c r="C70" i="1"/>
  <c r="C66" i="1"/>
  <c r="C61" i="1"/>
  <c r="C58" i="1"/>
  <c r="C56" i="1"/>
</calcChain>
</file>

<file path=xl/sharedStrings.xml><?xml version="1.0" encoding="utf-8"?>
<sst xmlns="http://schemas.openxmlformats.org/spreadsheetml/2006/main" count="1313" uniqueCount="886">
  <si>
    <t>connectors</t>
  </si>
  <si>
    <t>RF LVA-123+</t>
  </si>
  <si>
    <t>WR-FPC</t>
  </si>
  <si>
    <t>SMA</t>
  </si>
  <si>
    <t>BNC</t>
  </si>
  <si>
    <t>RF-Reciever Board</t>
  </si>
  <si>
    <t>Hi-temp epoxy</t>
  </si>
  <si>
    <t>digital mini scale 001g</t>
  </si>
  <si>
    <t>0.5mm FFC</t>
  </si>
  <si>
    <t>binder clip</t>
  </si>
  <si>
    <t>220 uF</t>
  </si>
  <si>
    <t>BLK</t>
  </si>
  <si>
    <t>type c</t>
  </si>
  <si>
    <t>DC boards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</si>
  <si>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</si>
  <si>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</si>
  <si>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</si>
  <si>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</si>
  <si>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</si>
  <si>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</si>
  <si>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</si>
  <si>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</si>
  <si>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</si>
  <si>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</si>
  <si>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</si>
  <si>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</si>
  <si>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</si>
  <si>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</si>
  <si>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</si>
  <si>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</si>
  <si>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</si>
  <si>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</si>
  <si>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</si>
  <si>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</si>
  <si>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</si>
  <si>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</si>
  <si>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</si>
  <si>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Freq Mixer</t>
  </si>
  <si>
    <t>SIM -14+</t>
  </si>
  <si>
    <t>SIM-73L+</t>
  </si>
  <si>
    <t>SIM-83+</t>
  </si>
  <si>
    <t>SIM-83LH+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</si>
  <si>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</si>
  <si>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</si>
  <si>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</si>
  <si>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</si>
  <si>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</si>
  <si>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</si>
  <si>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</si>
  <si>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</si>
  <si>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OPA360,SC70-6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</si>
  <si>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</si>
  <si>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</si>
  <si>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</si>
  <si>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</si>
  <si>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</si>
  <si>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</si>
  <si>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</si>
  <si>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</si>
  <si>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</si>
  <si>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</si>
  <si>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</si>
  <si>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LVA-123+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</si>
  <si>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</si>
  <si>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</si>
  <si>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</si>
  <si>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</si>
  <si>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</si>
  <si>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</si>
  <si>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</si>
  <si>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</si>
  <si>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</si>
  <si>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</si>
  <si>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multiplier</t>
  </si>
  <si>
    <t>HMC1167LP5E</t>
  </si>
  <si>
    <t>TGC4406-SM</t>
  </si>
  <si>
    <t>TPS73501QDRBRQ1</t>
  </si>
  <si>
    <t>TGA 4705-FC</t>
  </si>
  <si>
    <t>HMC773LC3B</t>
  </si>
  <si>
    <t>77GHz ,Triquint,LNA</t>
  </si>
  <si>
    <t>VGA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</si>
  <si>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</si>
  <si>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</si>
  <si>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</si>
  <si>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</si>
  <si>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</si>
  <si>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LP3985IM5-3.2/NOPB, 3.2V,0.15A</t>
  </si>
  <si>
    <t>L78L05ACUTR, 5V,1A</t>
  </si>
  <si>
    <t>L78L33ACUTR, 3.3V,1A</t>
  </si>
  <si>
    <t xml:space="preserve">TPS71730DCKR, 3.0V,150 mA </t>
  </si>
  <si>
    <t>BA78M07FP-E2, 7v, 500mA</t>
  </si>
  <si>
    <t>L78L06ABUTR, 6.0V, 0.1A</t>
  </si>
  <si>
    <t>AP1117Y50G-13, 5V,1A, SOT89-3</t>
  </si>
  <si>
    <t>MCP1804T-30021/MB,3V ,0.15A</t>
  </si>
  <si>
    <t>LT3015EQ-5#PBF, -5V 1.5A</t>
  </si>
  <si>
    <t xml:space="preserve">MIC5209-4.2YS,4.2V, 500mA </t>
  </si>
  <si>
    <t>AN79LO5M-ND,5V,100mA</t>
  </si>
  <si>
    <t>AN78L09M,9V,0.1A</t>
  </si>
  <si>
    <t>LM2940SX-8.0/NOPB, 8V0.1A</t>
  </si>
  <si>
    <t>L79L05ACUTR,-5V,0.1A</t>
  </si>
  <si>
    <t xml:space="preserve">LM2937IMP-12/NOPB,12V,400 mA </t>
  </si>
  <si>
    <t>BD80C0AFPS-E2, LD0,8V,0.1A</t>
  </si>
  <si>
    <t>REG101UA-3,3V 8-SOIC</t>
  </si>
  <si>
    <t xml:space="preserve">TPS79030DBVR,3V50mA </t>
  </si>
  <si>
    <t>L78L06ACUTR,6V,0.1A</t>
  </si>
  <si>
    <t xml:space="preserve">AN8006M,6V,50 mA </t>
  </si>
  <si>
    <t>tps71712dckr,1.2v,0.15A</t>
  </si>
  <si>
    <t>LTC1983ES6-5#TRMPBF,-5V</t>
  </si>
  <si>
    <t xml:space="preserve">REG101NA-2.5/250,2.5V,10mA </t>
  </si>
  <si>
    <t xml:space="preserve">AN8005M-ND,5V,50 mA </t>
  </si>
  <si>
    <t>REG104FA-5KTTT,5V,1A</t>
  </si>
  <si>
    <t>TPS79630KTTT,3.0V,1A</t>
  </si>
  <si>
    <t>L4931ABD50-TR,5V</t>
  </si>
  <si>
    <t>MC78L05ACDG,5V,0.1A</t>
  </si>
  <si>
    <t>AN7708SP,8V,1.2A</t>
  </si>
  <si>
    <t>LM2940S-8.0/NOPB,8V1A</t>
  </si>
  <si>
    <t>LT1761ES5-2.5#TRMPBF,2.5V,100mA</t>
  </si>
  <si>
    <t>TPS7172DCKR,1.2V,0.15A</t>
  </si>
  <si>
    <t>US78M05CDCYR,POS,SOT-223</t>
  </si>
  <si>
    <t>NJM78L05A,5V</t>
  </si>
  <si>
    <t>UA78L05ACD,5V,0.1A</t>
  </si>
  <si>
    <t>L78L0ACUTR,8V,0.1A</t>
  </si>
  <si>
    <t>TPS71713DCKR,1.3V,150mA</t>
  </si>
  <si>
    <t>TPS71715DCKR,1.5V,0.15A</t>
  </si>
  <si>
    <t>L4931ABD35-TR,3.5V,0.25A</t>
  </si>
  <si>
    <t xml:space="preserve">LT1761ES5-3.3#TRMPBF,3.3V,100mA </t>
  </si>
  <si>
    <t>AN79L09M-ND,9V,100mA</t>
  </si>
  <si>
    <t>L4931ABD33-TR,3.3V</t>
  </si>
  <si>
    <t>NJM78L05UA,5V</t>
  </si>
  <si>
    <t>L78M05ABDT-TR,5V,0.5A</t>
  </si>
  <si>
    <t>UA78M05CDCYR</t>
  </si>
  <si>
    <t>PDM2-S24-D5-S,5V,200mA</t>
  </si>
  <si>
    <t>LM2940IMP-15CT-ND</t>
  </si>
  <si>
    <t xml:space="preserve">L4931ABD50-TR,5V,250mA </t>
  </si>
  <si>
    <t>TPS71710DRVR,1.0V,150mA</t>
  </si>
  <si>
    <t>L4931ABD120TR,12V</t>
  </si>
  <si>
    <t>MCP1827T-5002E/ET,5V,1.5A</t>
  </si>
  <si>
    <t>S24SE05006PDFA</t>
  </si>
  <si>
    <t>VFSD1-S12-S12-SIP,12V</t>
  </si>
  <si>
    <t>MCP1804T-3002IMB,150mA,28V</t>
  </si>
  <si>
    <t>L7806ABD2T-TR,6V,1A</t>
  </si>
  <si>
    <t>UA78M08CDCYR,POS 500mA</t>
  </si>
  <si>
    <t>vco</t>
  </si>
  <si>
    <t>HMC506LP4</t>
  </si>
  <si>
    <t>HMC430LP4E,VCO 5.0-5.5GHZ</t>
  </si>
  <si>
    <t>HMC466LP4E,VCO 6.1-6.72GHZ</t>
  </si>
  <si>
    <t>HMC505LP4E,6.8-7.4GHZ</t>
  </si>
  <si>
    <t>HMC390LP4E,3.55-3.90GHZ</t>
  </si>
  <si>
    <t>HMC429LP4E,4.45-5.0GHZ</t>
  </si>
  <si>
    <t>HMC735LP5E,10.5-12.2GHZ</t>
  </si>
  <si>
    <t>ECS-8FMX-122.8-TR,12.288MHZ,5.0V</t>
  </si>
  <si>
    <t>HMC431LP4E</t>
  </si>
  <si>
    <t>HMC435MS8GE</t>
  </si>
  <si>
    <t>HMC416LP4</t>
  </si>
  <si>
    <t>HMC584LP5E</t>
  </si>
  <si>
    <t>HMC389LP4E</t>
  </si>
  <si>
    <t>HMC430LP4E</t>
  </si>
  <si>
    <t>HMC583LP5E</t>
  </si>
  <si>
    <t>HMC385LP4E</t>
  </si>
  <si>
    <t>CVCO55CC-0971-0975</t>
  </si>
  <si>
    <t>SG-531P 22.1184MHZ</t>
  </si>
  <si>
    <t>SG-3030JC 32.7680KB3:ROHS</t>
  </si>
  <si>
    <t>ECS-8FMX-245.7-TR,24.576MHZ</t>
  </si>
  <si>
    <t>HMC736LP4E</t>
  </si>
  <si>
    <t>ECS-8FMX-491.5-TR,49.152 MHZ</t>
  </si>
  <si>
    <t>ECS-2200B-098,9.8304MHZ</t>
  </si>
  <si>
    <t>CSX750ACB125.000MTR,125 MHZ</t>
  </si>
  <si>
    <t>ECS-2100A-120,12MHZ</t>
  </si>
  <si>
    <t>CSX750ACB133.330MTR,133 MHZ</t>
  </si>
  <si>
    <t>ECS-8FM-010-TR,1MHZ</t>
  </si>
  <si>
    <t>CSX750FCC44.00000M-UT,44MHZ</t>
  </si>
  <si>
    <t>ECS-8FMX,49.152MHZ</t>
  </si>
  <si>
    <t>ECS-8FM,1MHZ</t>
  </si>
  <si>
    <t>Part num</t>
  </si>
  <si>
    <t>value (Ohm)</t>
  </si>
  <si>
    <t>footsize(imperial unit)</t>
  </si>
  <si>
    <t>max voltage</t>
  </si>
  <si>
    <t>3.32k</t>
  </si>
  <si>
    <t>0402</t>
  </si>
  <si>
    <t>0603</t>
  </si>
  <si>
    <t>1.05k</t>
  </si>
  <si>
    <t xml:space="preserve"> 0402</t>
  </si>
  <si>
    <t>18k</t>
  </si>
  <si>
    <t>8.06k</t>
  </si>
  <si>
    <t>47k</t>
  </si>
  <si>
    <t>38.3k</t>
  </si>
  <si>
    <t>82k</t>
  </si>
  <si>
    <t xml:space="preserve"> 0603</t>
  </si>
  <si>
    <t>1206</t>
  </si>
  <si>
    <t xml:space="preserve"> 1206</t>
  </si>
  <si>
    <t>value</t>
  </si>
  <si>
    <t xml:space="preserve">1 pF </t>
  </si>
  <si>
    <t>2824</t>
  </si>
  <si>
    <t xml:space="preserve">11 pf </t>
  </si>
  <si>
    <t xml:space="preserve">13 pf </t>
  </si>
  <si>
    <t xml:space="preserve">8.2 pf </t>
  </si>
  <si>
    <t xml:space="preserve">2.2 pf </t>
  </si>
  <si>
    <t>0805</t>
  </si>
  <si>
    <t xml:space="preserve">10 pf </t>
  </si>
  <si>
    <t xml:space="preserve">22pf </t>
  </si>
  <si>
    <t xml:space="preserve">20 pf </t>
  </si>
  <si>
    <t>1608</t>
  </si>
  <si>
    <t>T495E227KO16ATE100</t>
  </si>
  <si>
    <t>634k</t>
  </si>
  <si>
    <t>250k</t>
  </si>
  <si>
    <t>200k</t>
  </si>
  <si>
    <t>191k</t>
  </si>
  <si>
    <t>60.4k</t>
  </si>
  <si>
    <t>30k</t>
  </si>
  <si>
    <t>16.9k</t>
  </si>
  <si>
    <t>12k</t>
  </si>
  <si>
    <t>6.65k</t>
  </si>
  <si>
    <t>5k</t>
  </si>
  <si>
    <t>3.92k</t>
  </si>
  <si>
    <t>1.5k</t>
  </si>
  <si>
    <t>1.3k</t>
  </si>
  <si>
    <t>1.2k</t>
  </si>
  <si>
    <t>1k</t>
  </si>
  <si>
    <t>numerical</t>
  </si>
  <si>
    <t xml:space="preserve">value </t>
  </si>
  <si>
    <t>68 nh</t>
  </si>
  <si>
    <t xml:space="preserve">82 nh </t>
  </si>
  <si>
    <t>Name</t>
  </si>
  <si>
    <t xml:space="preserve">numerical(pf) </t>
  </si>
  <si>
    <t>MFG:747250-4</t>
  </si>
  <si>
    <t>ZONE:ZONE9</t>
  </si>
  <si>
    <t>WM3862-ND</t>
  </si>
  <si>
    <t>Conn Header 20POS</t>
  </si>
  <si>
    <t>WM7961CT-ND</t>
  </si>
  <si>
    <t>CONN FPC BOTTOM 14POS</t>
  </si>
  <si>
    <t>S7085-ND</t>
  </si>
  <si>
    <t>CONN Header FMAL 34PS</t>
  </si>
  <si>
    <t>S7111-ND</t>
  </si>
  <si>
    <t>CONN HEADER FMAL 16PS</t>
  </si>
  <si>
    <t>H10537-ND</t>
  </si>
  <si>
    <t>CONN RECEPT STR 120PS 1.27MM</t>
  </si>
  <si>
    <t>1939-1900-ND</t>
  </si>
  <si>
    <t>MOLEX HOUSING 3.96mm pitch</t>
  </si>
  <si>
    <t>DIN-Signal</t>
  </si>
  <si>
    <t>09031786901</t>
  </si>
  <si>
    <t>651-1751329</t>
  </si>
  <si>
    <t>10P 3.5mm 90DEG</t>
  </si>
  <si>
    <t xml:space="preserve">   </t>
  </si>
  <si>
    <t>CRCW060356R0FKEA</t>
  </si>
  <si>
    <t>CRCW0603453RFKEA</t>
  </si>
  <si>
    <t>RC0603FR-07402RL</t>
  </si>
  <si>
    <t>CR0603-JW-303ELF</t>
  </si>
  <si>
    <t>30K</t>
  </si>
  <si>
    <t>RC0603FR-07240RL</t>
  </si>
  <si>
    <t>RMCF0603FT40R2</t>
  </si>
  <si>
    <t>CR0603-FX-1503ELF</t>
  </si>
  <si>
    <t>150K</t>
  </si>
  <si>
    <t>RMCF0603FT120K</t>
  </si>
  <si>
    <t>120K</t>
  </si>
  <si>
    <t>RC0603FR-07102KL</t>
  </si>
  <si>
    <t>102K</t>
  </si>
  <si>
    <t>CRCW0805-8871FRT1</t>
  </si>
  <si>
    <t>8.87K</t>
  </si>
  <si>
    <t>RC0603FR-07287RL</t>
  </si>
  <si>
    <t>RC0603FR-07133RL</t>
  </si>
  <si>
    <t>CR0603-FX-3002ELF</t>
  </si>
  <si>
    <t>CR0603-FX-1742ELF</t>
  </si>
  <si>
    <t>17.4K</t>
  </si>
  <si>
    <t>CR0603-FX-2002ELF</t>
  </si>
  <si>
    <t>20K</t>
  </si>
  <si>
    <t>RC0603FR-0727KL</t>
  </si>
  <si>
    <t>27K</t>
  </si>
  <si>
    <t>RC0603FR-074K75L</t>
  </si>
  <si>
    <t>4.75K</t>
  </si>
  <si>
    <t>CR0603-FX-1212ELF</t>
  </si>
  <si>
    <t>12.1K</t>
  </si>
  <si>
    <t>RMCF0603FT28K0</t>
  </si>
  <si>
    <t>28K</t>
  </si>
  <si>
    <t>RMCF00603FT7K15</t>
  </si>
  <si>
    <t>7.15K</t>
  </si>
  <si>
    <t>CR0603-FX-715ELF</t>
  </si>
  <si>
    <t>RC0603FR-072KL</t>
  </si>
  <si>
    <t>2K</t>
  </si>
  <si>
    <t>CRCW060317K4FKEA</t>
  </si>
  <si>
    <t>RMCF0603JT30K0</t>
  </si>
  <si>
    <t>CR0603-FX-1023ELF</t>
  </si>
  <si>
    <t>ESR10EZPF88R7</t>
  </si>
  <si>
    <t>88.7K</t>
  </si>
  <si>
    <t>RC0603FR-0775RL</t>
    <phoneticPr fontId="0" type="noConversion"/>
  </si>
  <si>
    <t>0603</t>
    <phoneticPr fontId="0" type="noConversion"/>
  </si>
  <si>
    <t>RC0603FR-0724R9L</t>
    <phoneticPr fontId="0" type="noConversion"/>
  </si>
  <si>
    <t>RC0603FR-0713RL</t>
    <phoneticPr fontId="0" type="noConversion"/>
  </si>
  <si>
    <t>CR0603-FX-2200ELF</t>
    <phoneticPr fontId="0" type="noConversion"/>
  </si>
  <si>
    <t>RMCF0603FG402R</t>
    <phoneticPr fontId="0" type="noConversion"/>
  </si>
  <si>
    <t>RMCF1206FT249R</t>
    <phoneticPr fontId="0" type="noConversion"/>
  </si>
  <si>
    <t>RC0603FR-07100RL</t>
    <phoneticPr fontId="0" type="noConversion"/>
  </si>
  <si>
    <t>ERJ-3GEY0R00V</t>
    <phoneticPr fontId="0" type="noConversion"/>
  </si>
  <si>
    <t>RC0402FR-0720KL</t>
    <phoneticPr fontId="0" type="noConversion"/>
  </si>
  <si>
    <t>20k</t>
    <phoneticPr fontId="0" type="noConversion"/>
  </si>
  <si>
    <t>0402</t>
    <phoneticPr fontId="0" type="noConversion"/>
  </si>
  <si>
    <t>CR0603-FX-1803ELF</t>
    <phoneticPr fontId="0" type="noConversion"/>
  </si>
  <si>
    <t>180k</t>
    <phoneticPr fontId="0" type="noConversion"/>
  </si>
  <si>
    <t>CR0603-FX-2493ELF</t>
    <phoneticPr fontId="0" type="noConversion"/>
  </si>
  <si>
    <t>249k</t>
    <phoneticPr fontId="0" type="noConversion"/>
  </si>
  <si>
    <t>CR0603-FX-1403ELF</t>
    <phoneticPr fontId="0" type="noConversion"/>
  </si>
  <si>
    <t>140k</t>
    <phoneticPr fontId="0" type="noConversion"/>
  </si>
  <si>
    <t>CRCW0805100RFKEA</t>
    <phoneticPr fontId="0" type="noConversion"/>
  </si>
  <si>
    <t>0805</t>
    <phoneticPr fontId="0" type="noConversion"/>
  </si>
  <si>
    <t>RK73H2ATTD4R12F</t>
    <phoneticPr fontId="0" type="noConversion"/>
  </si>
  <si>
    <t>RK73H2ATTD4R99F</t>
    <phoneticPr fontId="0" type="noConversion"/>
  </si>
  <si>
    <t>RC1206FR-07215RL</t>
    <phoneticPr fontId="0" type="noConversion"/>
  </si>
  <si>
    <t>ESR10EZPF88R7</t>
    <phoneticPr fontId="0" type="noConversion"/>
  </si>
  <si>
    <t>RC0603FR-07215RL</t>
    <phoneticPr fontId="0" type="noConversion"/>
  </si>
  <si>
    <t>CRCW0805-2211FRT1</t>
    <phoneticPr fontId="0" type="noConversion"/>
  </si>
  <si>
    <t>2.21k</t>
    <phoneticPr fontId="0" type="noConversion"/>
  </si>
  <si>
    <t>RMCF1206FT82R0</t>
    <phoneticPr fontId="0" type="noConversion"/>
  </si>
  <si>
    <t>RK73Z2ELTD</t>
    <phoneticPr fontId="0" type="noConversion"/>
  </si>
  <si>
    <t>1210</t>
  </si>
  <si>
    <t>RMC1/16K8202FTP</t>
  </si>
  <si>
    <t>82K</t>
  </si>
  <si>
    <t>RK73H2ATTD3R16F</t>
  </si>
  <si>
    <t>CR0603-FX-3601ELF</t>
  </si>
  <si>
    <t>3.6K</t>
  </si>
  <si>
    <t>ERJ-3EKF3601V</t>
  </si>
  <si>
    <t>RK73H1JTTD1500F</t>
  </si>
  <si>
    <t>RMCF1206FT113R</t>
  </si>
  <si>
    <t>RK73H1JTTD4991F</t>
  </si>
  <si>
    <t>4.99K</t>
  </si>
  <si>
    <t>RC0603FR-0710RL</t>
  </si>
  <si>
    <t>CRCW0805402RFKEA</t>
  </si>
  <si>
    <t>MCR10EZHF1501</t>
  </si>
  <si>
    <t>1.5K</t>
  </si>
  <si>
    <t>MRMCF1206FT267R</t>
  </si>
  <si>
    <t>RC1608F510CS</t>
  </si>
  <si>
    <t>MCR10EZHF1002</t>
  </si>
  <si>
    <t>10K</t>
  </si>
  <si>
    <t>RC0805JR-0715RL</t>
  </si>
  <si>
    <t>CRCW080556R0FKEA</t>
  </si>
  <si>
    <t>RC1206FR-07220RL</t>
  </si>
  <si>
    <t>RMCF1206JT1K30</t>
  </si>
  <si>
    <t>1.3K</t>
  </si>
  <si>
    <t>CRCW0603100RFKTA</t>
  </si>
  <si>
    <t>C0402C101J3GACTU</t>
  </si>
  <si>
    <t>100pF</t>
  </si>
  <si>
    <t>25V</t>
  </si>
  <si>
    <t>ECD-G0ER909</t>
  </si>
  <si>
    <t>0.90PF</t>
  </si>
  <si>
    <t>ECD-G0E1R8B</t>
  </si>
  <si>
    <t>1.8PF</t>
  </si>
  <si>
    <t>B37923K5030B960</t>
  </si>
  <si>
    <t>3.9PF</t>
  </si>
  <si>
    <t>50V</t>
  </si>
  <si>
    <t>CRM1555C1H101JA01D</t>
  </si>
  <si>
    <t>100PF</t>
  </si>
  <si>
    <t>CRM155R60J475ME47D</t>
  </si>
  <si>
    <t>0402YC104MAT2A</t>
  </si>
  <si>
    <t>251R14S4R7CV4T</t>
  </si>
  <si>
    <t>4.7PF</t>
  </si>
  <si>
    <t>250V</t>
  </si>
  <si>
    <t>C3216X5R1C336M</t>
  </si>
  <si>
    <t>GRM32ER61E226KE15L</t>
  </si>
  <si>
    <t>TAJW107K006RNJ</t>
  </si>
  <si>
    <t>TMK325B7226KMHP</t>
  </si>
  <si>
    <t>C3216X5R1E476M160AC</t>
  </si>
  <si>
    <t>EEE-FC0J220R</t>
  </si>
  <si>
    <t>GMK316F106ZL-T</t>
  </si>
  <si>
    <t>30V</t>
  </si>
  <si>
    <t>GRM21BC81C226ME44L</t>
  </si>
  <si>
    <t>08055A100JAT2A</t>
  </si>
  <si>
    <t>10PF</t>
  </si>
  <si>
    <t>C2012X5R1V156M125AC</t>
  </si>
  <si>
    <t>C0805C821J5GACTU</t>
  </si>
  <si>
    <t>GRM2165C1H332JA01D</t>
  </si>
  <si>
    <t>SQCAEM0R1BAJME</t>
  </si>
  <si>
    <t>0.1PF</t>
  </si>
  <si>
    <t>150V</t>
  </si>
  <si>
    <t>0605</t>
  </si>
  <si>
    <t>MCU0805PD2002DP500</t>
  </si>
  <si>
    <t>CR0805-FX-8451ELF</t>
  </si>
  <si>
    <t>8.45K</t>
  </si>
  <si>
    <t>CR0603-FX-8451ELF</t>
  </si>
  <si>
    <t>CRCW080556R2FKEA</t>
  </si>
  <si>
    <t>ECJ-2VC1H391J</t>
  </si>
  <si>
    <t>C0805C105K4RACTU</t>
  </si>
  <si>
    <t>ECJ-2VC1H270J</t>
  </si>
  <si>
    <t>27PF</t>
  </si>
  <si>
    <t>CL21A476MQYNNNE</t>
  </si>
  <si>
    <t>MF-NSMF 110-2</t>
  </si>
  <si>
    <t>FUSE</t>
  </si>
  <si>
    <t>Part Num</t>
  </si>
  <si>
    <t>Current</t>
  </si>
  <si>
    <t>Voltage</t>
  </si>
  <si>
    <t>footprint</t>
  </si>
  <si>
    <t>1.1A</t>
  </si>
  <si>
    <t>6V</t>
  </si>
  <si>
    <t>C1Q 1.5</t>
  </si>
  <si>
    <t>1.5A</t>
  </si>
  <si>
    <t>125V</t>
  </si>
  <si>
    <t>RC1608F9532CS</t>
  </si>
  <si>
    <t>95.3K</t>
  </si>
  <si>
    <t>MF-NSMF 110 -2</t>
  </si>
  <si>
    <t>1.10A</t>
  </si>
  <si>
    <t>MF-NSMF050-2</t>
  </si>
  <si>
    <t>500mA</t>
  </si>
  <si>
    <t>13.2V</t>
  </si>
  <si>
    <t>MF-NSMF012-2</t>
  </si>
  <si>
    <t>0.12A</t>
  </si>
  <si>
    <t>FC0603E50R</t>
  </si>
  <si>
    <t>FC0402E1000BST1</t>
  </si>
  <si>
    <t>CH0402-250RGF</t>
  </si>
  <si>
    <t>FC0603E5050BST1</t>
  </si>
  <si>
    <t>F951C106MSAAQ2</t>
  </si>
  <si>
    <t>ADG719BRTZ-REEL7</t>
  </si>
  <si>
    <t>CH0402-500RGFPT</t>
  </si>
  <si>
    <t>504L2000FTNCFT</t>
  </si>
  <si>
    <t>74AHC164BQ,115</t>
  </si>
  <si>
    <t>Logic Gates</t>
  </si>
  <si>
    <t>MC100LVEP05MNTXG</t>
  </si>
  <si>
    <t>CH0402-150RGF</t>
  </si>
  <si>
    <t>TZR1Z010A001R00</t>
  </si>
  <si>
    <t>1PF</t>
  </si>
  <si>
    <t>RC0603JR-070RL</t>
  </si>
  <si>
    <t>RC0603JR-0791RL</t>
  </si>
  <si>
    <t>RC1206FR-07165RL</t>
  </si>
  <si>
    <t>CR2512-J/-000ELF</t>
  </si>
  <si>
    <t>CR0603-FX-1621ELF</t>
  </si>
  <si>
    <t>1.62k</t>
  </si>
  <si>
    <t>MCT06030C1004FP500</t>
  </si>
  <si>
    <t>1M</t>
  </si>
  <si>
    <t>RR0510P-2870-D</t>
  </si>
  <si>
    <t>CRCW080543R2FKEA</t>
  </si>
  <si>
    <t>ERJ-6RQF3R9V</t>
  </si>
  <si>
    <t>MCR03ERTTF4122</t>
  </si>
  <si>
    <t>41.2k</t>
  </si>
  <si>
    <t>MCR18EZHF2430</t>
  </si>
  <si>
    <t>ERJ-8ENF47ROV</t>
  </si>
  <si>
    <t>RMCF0603FT62K0</t>
  </si>
  <si>
    <t>62k</t>
  </si>
  <si>
    <t>RC1206FR-07470RL</t>
  </si>
  <si>
    <t>ERJ-2RKF2871X</t>
  </si>
  <si>
    <t>2.87k</t>
  </si>
  <si>
    <t>ERJ-2RKF4991X</t>
  </si>
  <si>
    <t>4.99k</t>
  </si>
  <si>
    <t>MCR18EZPF1001</t>
  </si>
  <si>
    <t>ERJ-3EKF10R0V</t>
  </si>
  <si>
    <t>RC1206FR-0760R4L</t>
  </si>
  <si>
    <t>MCR03ERTF2001</t>
  </si>
  <si>
    <t>2k</t>
  </si>
  <si>
    <t>MCR01MRTF1001</t>
  </si>
  <si>
    <t>MCR18EZPJ101</t>
  </si>
  <si>
    <t>MCR03ERTF2003</t>
  </si>
  <si>
    <t>ECJ-1VC1H101J</t>
  </si>
  <si>
    <t>100pf</t>
  </si>
  <si>
    <t>251R14S4R7BV4T</t>
  </si>
  <si>
    <t>4.7pf</t>
  </si>
  <si>
    <t>CL10A475KP8NNNC</t>
  </si>
  <si>
    <t>GRM188R60J225KE19D</t>
  </si>
  <si>
    <t>LMK107BJ225KA-T</t>
  </si>
  <si>
    <t>CC0603JRNP09BN680</t>
  </si>
  <si>
    <t>68pF</t>
  </si>
  <si>
    <t>251R14S6R8CV4T</t>
  </si>
  <si>
    <t>6.8pF</t>
  </si>
  <si>
    <t>GRM188R71H104KA93D</t>
  </si>
  <si>
    <t>C0603C560J5GACTU</t>
  </si>
  <si>
    <t>56pF</t>
  </si>
  <si>
    <t>C0603C569D5GACTM</t>
  </si>
  <si>
    <t>5.6pF</t>
  </si>
  <si>
    <t>0603N470F500CT</t>
  </si>
  <si>
    <t>47pF</t>
  </si>
  <si>
    <t>0603N680F500CT</t>
  </si>
  <si>
    <t>CC0603KRX7R9BB501</t>
  </si>
  <si>
    <t>ECJ-1VB1E103K</t>
  </si>
  <si>
    <t>251R14S0R3BV4T</t>
  </si>
  <si>
    <t>0.3pF</t>
  </si>
  <si>
    <t>251R14S0R9BV4T</t>
  </si>
  <si>
    <t>0.9pF</t>
  </si>
  <si>
    <t>0.2pF</t>
  </si>
  <si>
    <t>251R14S5R6CV4T</t>
  </si>
  <si>
    <t>GRM155R71H102KA01D</t>
  </si>
  <si>
    <t>MF--NSMF035-2</t>
  </si>
  <si>
    <t>C1Q 500</t>
  </si>
  <si>
    <t>MF-NSMF075-2</t>
  </si>
  <si>
    <t>C1Q 750</t>
  </si>
  <si>
    <t>C1Q 375</t>
  </si>
  <si>
    <t>0.35A</t>
  </si>
  <si>
    <t>750mA</t>
  </si>
  <si>
    <t>375mA</t>
  </si>
  <si>
    <t>Switchs</t>
  </si>
  <si>
    <t>ISL43210IHZ-T</t>
  </si>
  <si>
    <t>PE42420LGBB-Z</t>
  </si>
  <si>
    <t>PE4251MLI-Z</t>
  </si>
  <si>
    <t>PE42420C-Z</t>
  </si>
  <si>
    <t>ISL433210IHZ-T</t>
  </si>
  <si>
    <t>TS5A3359DCUR</t>
  </si>
  <si>
    <t>PE42520MLBA-Z</t>
  </si>
  <si>
    <t>PE424442A-Z</t>
  </si>
  <si>
    <t>SKY13588-460LF</t>
  </si>
  <si>
    <t>TS5A23159RSER</t>
  </si>
  <si>
    <t>inductor</t>
  </si>
  <si>
    <t>LQW18AN12NJ00D</t>
  </si>
  <si>
    <t>12 nh</t>
  </si>
  <si>
    <t>LQP03TG0N4B02D</t>
  </si>
  <si>
    <t>0.4NH</t>
  </si>
  <si>
    <t>BLM21PG221SN1D</t>
  </si>
  <si>
    <t>MLK1005SR15J</t>
  </si>
  <si>
    <t>3.58NH</t>
  </si>
  <si>
    <t>IHHP1008ABER1R5M01</t>
  </si>
  <si>
    <t>1.5UH</t>
  </si>
  <si>
    <t>SRR7045-102M</t>
  </si>
  <si>
    <t>1000 UH</t>
  </si>
  <si>
    <t>NLCV32T-R10M-PFR</t>
  </si>
  <si>
    <t>100NH</t>
  </si>
  <si>
    <t>VLP8040T-2R2N</t>
  </si>
  <si>
    <t>2.2UH</t>
  </si>
  <si>
    <t>SRP4020TA-1R5M</t>
  </si>
  <si>
    <t>CURRENT</t>
  </si>
  <si>
    <t>4.5 A</t>
  </si>
  <si>
    <t>1624112-8</t>
  </si>
  <si>
    <t>68 NH</t>
  </si>
  <si>
    <t xml:space="preserve">600 mA </t>
  </si>
  <si>
    <t>L-14C39NJV4T</t>
  </si>
  <si>
    <t>39NH</t>
  </si>
  <si>
    <t xml:space="preserve">300 mA </t>
  </si>
  <si>
    <t>12NH</t>
  </si>
  <si>
    <t>BLM21BD272SN1L</t>
  </si>
  <si>
    <t>LQW18AN8N2D00D</t>
  </si>
  <si>
    <t>8.2 NH</t>
  </si>
  <si>
    <t xml:space="preserve">650 mA </t>
  </si>
  <si>
    <t>B82496C3121J</t>
  </si>
  <si>
    <t>120NH</t>
  </si>
  <si>
    <t>0.16A</t>
  </si>
  <si>
    <t>MLF2012A3R3KT000</t>
  </si>
  <si>
    <t>3.3UH</t>
  </si>
  <si>
    <t>L0603C1N0SRMST</t>
  </si>
  <si>
    <t>1NH</t>
  </si>
  <si>
    <t>300mA</t>
  </si>
  <si>
    <t xml:space="preserve">600mA </t>
  </si>
  <si>
    <t>EPL2014-472MLB</t>
  </si>
  <si>
    <t>BLM21AG221BH1D</t>
  </si>
  <si>
    <t>LQW18ANR10J00D</t>
  </si>
  <si>
    <t xml:space="preserve">220 mA </t>
  </si>
  <si>
    <t>LQW18AN5N6D00D</t>
  </si>
  <si>
    <t>5.6 NH</t>
  </si>
  <si>
    <t xml:space="preserve">750 mA </t>
  </si>
  <si>
    <t>cim21j222ne</t>
  </si>
  <si>
    <t>2.2k</t>
  </si>
  <si>
    <t>Ferrite bead</t>
  </si>
  <si>
    <t>P/N</t>
  </si>
  <si>
    <t>Ohm</t>
  </si>
  <si>
    <t>footsize</t>
  </si>
  <si>
    <t>LQW18AN2N2D10D</t>
    <phoneticPr fontId="3" type="noConversion"/>
  </si>
  <si>
    <t>LQW18AN12NJ00D</t>
    <phoneticPr fontId="3" type="noConversion"/>
  </si>
  <si>
    <t>LQW18AN36NG00D</t>
    <phoneticPr fontId="3" type="noConversion"/>
  </si>
  <si>
    <t>LQW18AN68NJ00D</t>
    <phoneticPr fontId="3" type="noConversion"/>
  </si>
  <si>
    <t>MLK1005SR15JT000</t>
    <phoneticPr fontId="3" type="noConversion"/>
  </si>
  <si>
    <t>MLK1005S22NJT000</t>
    <phoneticPr fontId="3" type="noConversion"/>
  </si>
  <si>
    <t>B82496C3270J</t>
    <phoneticPr fontId="3" type="noConversion"/>
  </si>
  <si>
    <t>LQW18ANR10J00D</t>
    <phoneticPr fontId="3" type="noConversion"/>
  </si>
  <si>
    <t>LQW18AN43NJ00D</t>
    <phoneticPr fontId="3" type="noConversion"/>
  </si>
  <si>
    <t>B82496C3479J</t>
    <phoneticPr fontId="3" type="noConversion"/>
  </si>
  <si>
    <t>LQP15MN22NGO2D</t>
    <phoneticPr fontId="3" type="noConversion"/>
  </si>
  <si>
    <t>LQW18AN30NG00D</t>
    <phoneticPr fontId="3" type="noConversion"/>
  </si>
  <si>
    <t>LQW18AN8N2D00D</t>
    <phoneticPr fontId="3" type="noConversion"/>
  </si>
  <si>
    <t>L-14C39NJV4T</t>
    <phoneticPr fontId="3" type="noConversion"/>
  </si>
  <si>
    <t>L-14C18NJV4T</t>
    <phoneticPr fontId="3" type="noConversion"/>
  </si>
  <si>
    <t>1-1624112-0</t>
    <phoneticPr fontId="3" type="noConversion"/>
  </si>
  <si>
    <t>100 nF</t>
  </si>
  <si>
    <t>47 pF</t>
  </si>
  <si>
    <t>68 pF</t>
  </si>
  <si>
    <t>10 pF</t>
  </si>
  <si>
    <t>251R14S0R2AV4T</t>
  </si>
  <si>
    <t>0.2 pF</t>
  </si>
  <si>
    <t>0.3 pF</t>
  </si>
  <si>
    <t>0.9 pF</t>
  </si>
  <si>
    <t>4.7 pF</t>
  </si>
  <si>
    <t>5.6 pF</t>
  </si>
  <si>
    <t>6.8 pF</t>
  </si>
  <si>
    <t>3 pF</t>
  </si>
  <si>
    <t>56 pF</t>
  </si>
  <si>
    <t>1.0 µF</t>
  </si>
  <si>
    <t>820 pF</t>
  </si>
  <si>
    <t>C1608X5R0J106K080AB</t>
  </si>
  <si>
    <t>10 µF</t>
  </si>
  <si>
    <t>15 µF</t>
  </si>
  <si>
    <t>33 µF</t>
  </si>
  <si>
    <t>47 µF</t>
  </si>
  <si>
    <t>500 pF</t>
  </si>
  <si>
    <t>CC1206MKX5R7BB226</t>
  </si>
  <si>
    <t>22 µF</t>
  </si>
  <si>
    <t>4.7 µF</t>
  </si>
  <si>
    <t>1.8 pF</t>
  </si>
  <si>
    <t>10 nF</t>
  </si>
  <si>
    <t>27 pF</t>
  </si>
  <si>
    <t>390 pF</t>
  </si>
  <si>
    <t>SMD Can</t>
  </si>
  <si>
    <t>3216 (A)</t>
  </si>
  <si>
    <t>1.0 nF</t>
  </si>
  <si>
    <t>2.2 µF</t>
  </si>
  <si>
    <t>3.3 nF</t>
  </si>
  <si>
    <t>0.1 pF</t>
  </si>
  <si>
    <t>1210 (W)</t>
  </si>
  <si>
    <t>100 µF</t>
  </si>
  <si>
    <t>Trimmer</t>
  </si>
  <si>
    <t>1 pF</t>
  </si>
  <si>
    <t>Number</t>
  </si>
  <si>
    <t>quantity</t>
  </si>
  <si>
    <t>quanitity</t>
  </si>
  <si>
    <t>HMC388LP4E</t>
  </si>
  <si>
    <t>package</t>
  </si>
  <si>
    <t>HMC532LP4E</t>
  </si>
  <si>
    <t>CUT&amp;TAP</t>
  </si>
  <si>
    <t>HMC506LP4ETR</t>
  </si>
  <si>
    <t>NON</t>
  </si>
  <si>
    <t>ROS-80-7119+</t>
  </si>
  <si>
    <t>HMC429LP4ERT</t>
  </si>
  <si>
    <t>HMC391LP4E</t>
  </si>
  <si>
    <t>HMC654LP2E</t>
  </si>
  <si>
    <t>NUMBER</t>
  </si>
  <si>
    <t>HMC653LP2ETR</t>
  </si>
  <si>
    <t>HMC220AMS8ETR</t>
  </si>
  <si>
    <t>reel and cut&amp;tap</t>
  </si>
  <si>
    <t>HMC466LP4E</t>
  </si>
  <si>
    <t>cut&amp;tap</t>
  </si>
  <si>
    <t>ROS-70-119+</t>
  </si>
  <si>
    <t>ADE-11X+</t>
  </si>
  <si>
    <t>ADE-1LH+</t>
  </si>
  <si>
    <t>MAR-3+</t>
  </si>
  <si>
    <t>REEL</t>
  </si>
  <si>
    <t>SALF-78</t>
  </si>
  <si>
    <t>MCA1-85L+</t>
  </si>
  <si>
    <t>MCA1-12G+</t>
  </si>
  <si>
    <t>SYM-63LH+</t>
  </si>
  <si>
    <t>GALI-74+</t>
  </si>
  <si>
    <t>GALI-3+</t>
  </si>
  <si>
    <t>MCA1-85+</t>
  </si>
  <si>
    <t>ADEX-10H+</t>
  </si>
  <si>
    <t>HMC412AMS8GE</t>
  </si>
  <si>
    <t>GALI-6+</t>
  </si>
  <si>
    <t>ERA-33SM+</t>
  </si>
  <si>
    <t>GALI-51+</t>
  </si>
  <si>
    <t>GALI-39+</t>
  </si>
  <si>
    <t>GALI-S66+</t>
  </si>
  <si>
    <t>CUT-TAP</t>
  </si>
  <si>
    <t>GALI-1+</t>
  </si>
  <si>
    <t>GALI-5F+</t>
  </si>
  <si>
    <t xml:space="preserve"> </t>
  </si>
  <si>
    <t>100+10+4</t>
  </si>
  <si>
    <t>50+8</t>
  </si>
  <si>
    <t>REG101NA-3/250</t>
  </si>
  <si>
    <t>HMC220AMS8ETR</t>
    <phoneticPr fontId="4" type="noConversion"/>
  </si>
  <si>
    <t>CT</t>
    <phoneticPr fontId="4" type="noConversion"/>
  </si>
  <si>
    <t>MCA1-80LH+</t>
    <phoneticPr fontId="4" type="noConversion"/>
  </si>
  <si>
    <t>MCA1-85+</t>
    <phoneticPr fontId="4" type="noConversion"/>
  </si>
  <si>
    <t>REEL &amp; INDIVIDUAL</t>
    <phoneticPr fontId="4" type="noConversion"/>
  </si>
  <si>
    <t>RCAT-07+</t>
    <phoneticPr fontId="4" type="noConversion"/>
  </si>
  <si>
    <t>SYM-63LH+</t>
    <phoneticPr fontId="4" type="noConversion"/>
  </si>
  <si>
    <t>SKY-42+</t>
    <phoneticPr fontId="4" type="noConversion"/>
  </si>
  <si>
    <t>CT &amp; REEL</t>
    <phoneticPr fontId="4" type="noConversion"/>
  </si>
  <si>
    <t>SYIQ-895D+</t>
    <phoneticPr fontId="4" type="noConversion"/>
  </si>
  <si>
    <t>HMC734LP5E_8.6~10.2GHz</t>
  </si>
  <si>
    <t>HMC941ALP4E</t>
    <phoneticPr fontId="4" type="noConversion"/>
  </si>
  <si>
    <t>HMC270MS8GE</t>
    <phoneticPr fontId="4" type="noConversion"/>
  </si>
  <si>
    <t>HMC430LP4ETR</t>
  </si>
  <si>
    <t>HMC742ALP5ETR</t>
    <phoneticPr fontId="4" type="noConversion"/>
  </si>
  <si>
    <t>HMC374SC70E</t>
    <phoneticPr fontId="4" type="noConversion"/>
  </si>
  <si>
    <t>HMC424LP3E</t>
    <phoneticPr fontId="4" type="noConversion"/>
  </si>
  <si>
    <t>HMC553LC3B</t>
    <phoneticPr fontId="4" type="noConversion"/>
  </si>
  <si>
    <t>HMC772LC4</t>
    <phoneticPr fontId="4" type="noConversion"/>
  </si>
  <si>
    <t>HMC412AMS8GE</t>
    <phoneticPr fontId="4" type="noConversion"/>
  </si>
  <si>
    <t>HMC652LP2E</t>
    <phoneticPr fontId="4" type="noConversion"/>
  </si>
  <si>
    <t>HMC653LP2E</t>
    <phoneticPr fontId="4" type="noConversion"/>
  </si>
  <si>
    <t>HMC677LP5E</t>
    <phoneticPr fontId="4" type="noConversion"/>
  </si>
  <si>
    <t>HMC284MS8GE</t>
    <phoneticPr fontId="4" type="noConversion"/>
  </si>
  <si>
    <t>HMC239AS8E</t>
    <phoneticPr fontId="4" type="noConversion"/>
  </si>
  <si>
    <t>HMC219MS8</t>
    <phoneticPr fontId="4" type="noConversion"/>
  </si>
  <si>
    <t xml:space="preserve">reel </t>
  </si>
  <si>
    <t>number</t>
  </si>
  <si>
    <t>Amplifier</t>
  </si>
  <si>
    <t>Function</t>
  </si>
  <si>
    <t>Num</t>
  </si>
  <si>
    <t>num</t>
  </si>
  <si>
    <t>HFCN-4400+</t>
  </si>
  <si>
    <t>NUM</t>
  </si>
  <si>
    <t>LFCN-7200+</t>
  </si>
  <si>
    <t>LFCN-6000+</t>
  </si>
  <si>
    <t>HFCN-6010+</t>
  </si>
  <si>
    <t>LFCN-120+</t>
  </si>
  <si>
    <t>HFCN-1810+</t>
  </si>
  <si>
    <t>LFCN-3000+</t>
  </si>
  <si>
    <t>HFCN-160+</t>
  </si>
  <si>
    <t>10+15</t>
  </si>
  <si>
    <t>HFCN-7150+</t>
  </si>
  <si>
    <t>HFCN-3500+</t>
  </si>
  <si>
    <t>LFCG-42+</t>
  </si>
  <si>
    <t>LFCN-400+</t>
  </si>
  <si>
    <t>10+30</t>
  </si>
  <si>
    <t>HFCN-5500D+</t>
  </si>
  <si>
    <t>HFCN-5500+</t>
  </si>
  <si>
    <t>SCLF-4.7+</t>
  </si>
  <si>
    <t>HFCN-1760+</t>
  </si>
  <si>
    <t>SCLF-44+</t>
  </si>
  <si>
    <t>LFCN-190+</t>
  </si>
  <si>
    <t>HFCN-1500+</t>
  </si>
  <si>
    <t>LFCN-6700+</t>
  </si>
  <si>
    <t>SCLF-45+</t>
  </si>
  <si>
    <t>PHP-25+</t>
  </si>
  <si>
    <t>LFCN-105+</t>
  </si>
  <si>
    <t>EHA-163L+</t>
  </si>
  <si>
    <t>GALI-19+</t>
  </si>
  <si>
    <t>HFCN-3800+</t>
  </si>
  <si>
    <t>HFCN-8400</t>
  </si>
  <si>
    <t>HFCN-8400+</t>
  </si>
  <si>
    <t>LFCN-3400+</t>
  </si>
  <si>
    <t>LFCN-4400+</t>
  </si>
  <si>
    <t>LFCN-123+</t>
  </si>
  <si>
    <t>4+10</t>
  </si>
  <si>
    <t xml:space="preserve">4+4+9                                                                                                                                                                                                          </t>
  </si>
  <si>
    <t>LFCN-5000+</t>
  </si>
  <si>
    <t>HMC429LP4E</t>
  </si>
  <si>
    <t>9+5</t>
  </si>
  <si>
    <t>HMC388LP4</t>
  </si>
  <si>
    <t>HMC506LP4E</t>
  </si>
  <si>
    <t>HFCN-3500+</t>
    <phoneticPr fontId="1" type="noConversion"/>
  </si>
  <si>
    <t>HFCN-1600D+</t>
    <phoneticPr fontId="1" type="noConversion"/>
  </si>
  <si>
    <t>LFCW-1062+</t>
    <phoneticPr fontId="1" type="noConversion"/>
  </si>
  <si>
    <t>LFCN-225+</t>
    <phoneticPr fontId="1" type="noConversion"/>
  </si>
  <si>
    <t>LFCN-120+</t>
    <phoneticPr fontId="1" type="noConversion"/>
  </si>
  <si>
    <t>HFCN-1810+</t>
    <phoneticPr fontId="1" type="noConversion"/>
  </si>
  <si>
    <t>LFCW-1142+</t>
    <phoneticPr fontId="1" type="noConversion"/>
  </si>
  <si>
    <t>HFCN-5500D+</t>
    <phoneticPr fontId="1" type="noConversion"/>
  </si>
  <si>
    <t>LFCN-180+</t>
    <phoneticPr fontId="1" type="noConversion"/>
  </si>
  <si>
    <t>LFCN-7200+</t>
    <phoneticPr fontId="1" type="noConversion"/>
  </si>
  <si>
    <t>HFCN-880+</t>
    <phoneticPr fontId="1" type="noConversion"/>
  </si>
  <si>
    <t>HFCN-4400+</t>
    <phoneticPr fontId="1" type="noConversion"/>
  </si>
  <si>
    <t>XLF-252+</t>
    <phoneticPr fontId="1" type="noConversion"/>
  </si>
  <si>
    <t>HFCN-6010+</t>
    <phoneticPr fontId="1" type="noConversion"/>
  </si>
  <si>
    <t>SALF-78</t>
    <phoneticPr fontId="1" type="noConversion"/>
  </si>
  <si>
    <t>SCLF-4.7+</t>
    <phoneticPr fontId="1" type="noConversion"/>
  </si>
  <si>
    <t>LFCN-320+</t>
    <phoneticPr fontId="1" type="noConversion"/>
  </si>
  <si>
    <t>LPF-B0R3+</t>
    <phoneticPr fontId="1" type="noConversion"/>
  </si>
  <si>
    <t>HFCN-5500+</t>
    <phoneticPr fontId="1" type="noConversion"/>
  </si>
  <si>
    <t>LFCN-1000+</t>
    <phoneticPr fontId="1" type="noConversion"/>
  </si>
  <si>
    <t>HFCN-2275+</t>
    <phoneticPr fontId="1" type="noConversion"/>
  </si>
  <si>
    <t>HFCN-3800+</t>
    <phoneticPr fontId="1" type="noConversion"/>
  </si>
  <si>
    <t>HFCN-3800D+</t>
    <phoneticPr fontId="1" type="noConversion"/>
  </si>
  <si>
    <t>LFCN-3400+</t>
    <phoneticPr fontId="1" type="noConversion"/>
  </si>
  <si>
    <t>HFCN-4400D+</t>
    <phoneticPr fontId="1" type="noConversion"/>
  </si>
  <si>
    <t>HFCN-3100D+</t>
    <phoneticPr fontId="1" type="noConversion"/>
  </si>
  <si>
    <t>HFCN-1910D+</t>
    <phoneticPr fontId="1" type="noConversion"/>
  </si>
  <si>
    <t>LFCN-5000+</t>
    <phoneticPr fontId="1" type="noConversion"/>
  </si>
  <si>
    <t>LFCN-8400+</t>
    <phoneticPr fontId="1" type="noConversion"/>
  </si>
  <si>
    <t>LFCN-4400+</t>
    <phoneticPr fontId="1" type="noConversion"/>
  </si>
  <si>
    <t>LFCN-2850+</t>
    <phoneticPr fontId="1" type="noConversion"/>
  </si>
  <si>
    <t>C1608X7R1E104K</t>
    <phoneticPr fontId="1" type="noConversion"/>
  </si>
  <si>
    <t>0603</t>
    <phoneticPr fontId="1" type="noConversion"/>
  </si>
  <si>
    <t>06035C103KAT2A</t>
    <phoneticPr fontId="1" type="noConversion"/>
  </si>
  <si>
    <t>ECJ-1VB1H103K</t>
    <phoneticPr fontId="1" type="noConversion"/>
  </si>
  <si>
    <t>ECJ1VB1E104K</t>
    <phoneticPr fontId="1" type="noConversion"/>
  </si>
  <si>
    <t>603YC104KAT2A</t>
    <phoneticPr fontId="1" type="noConversion"/>
  </si>
  <si>
    <t>0505</t>
  </si>
  <si>
    <t>0.1uf</t>
  </si>
  <si>
    <t>1000pf</t>
  </si>
  <si>
    <t>RC0603FR0749R9L</t>
    <phoneticPr fontId="1" type="noConversion"/>
  </si>
  <si>
    <t>RMCF0603FT49R9</t>
    <phoneticPr fontId="1" type="noConversion"/>
  </si>
  <si>
    <t>RMCF 1/16 1K 5% R</t>
    <phoneticPr fontId="1" type="noConversion"/>
  </si>
  <si>
    <t>1K</t>
    <phoneticPr fontId="1" type="noConversion"/>
  </si>
  <si>
    <t>ERA-3AEB102V</t>
    <phoneticPr fontId="1" type="noConversion"/>
  </si>
  <si>
    <t>RMCF0603FT1K00</t>
    <phoneticPr fontId="1" type="noConversion"/>
  </si>
  <si>
    <t>C1005X7R1H104K050BB</t>
  </si>
  <si>
    <t>RC0402JR-070RL</t>
  </si>
  <si>
    <t>TMK212BBJ106KGT</t>
  </si>
  <si>
    <t>10uf</t>
  </si>
  <si>
    <t>C0603C103K5RACTU</t>
  </si>
  <si>
    <t>10NF</t>
  </si>
  <si>
    <t>CC0603ZRY5V7BB105</t>
  </si>
  <si>
    <t>1UF</t>
  </si>
  <si>
    <t>RC0603FR-073K32L</t>
  </si>
  <si>
    <t>3.32K</t>
  </si>
  <si>
    <t>RC0603FR-0710KL</t>
  </si>
  <si>
    <t>LQW18AN2N2D00D</t>
  </si>
  <si>
    <t>2.2 nH</t>
  </si>
  <si>
    <t>12 nH</t>
  </si>
  <si>
    <t>36 nH</t>
  </si>
  <si>
    <t>68 nH</t>
  </si>
  <si>
    <t>15 nH</t>
  </si>
  <si>
    <t>22 nH</t>
  </si>
  <si>
    <t>27 nH</t>
  </si>
  <si>
    <t>0.10 Ω</t>
  </si>
  <si>
    <t>43 nH</t>
  </si>
  <si>
    <t>47 nH</t>
  </si>
  <si>
    <t>30 nH</t>
  </si>
  <si>
    <t>8.2 nH</t>
  </si>
  <si>
    <t>22 µH</t>
  </si>
  <si>
    <t>39 nH</t>
  </si>
  <si>
    <t>18 nH</t>
  </si>
  <si>
    <t>—</t>
  </si>
  <si>
    <t>SRN6045-220M</t>
  </si>
  <si>
    <t>S1812-103K</t>
  </si>
  <si>
    <t>10 µH</t>
  </si>
  <si>
    <t xml:space="preserve">330 mA </t>
  </si>
  <si>
    <t>0603 (1608 metric) SMD</t>
  </si>
  <si>
    <t>0402 (1005 metric) SMD</t>
  </si>
  <si>
    <t>0805 SMD</t>
  </si>
  <si>
    <t>Axial / Leaded</t>
  </si>
  <si>
    <t>6045 SMD</t>
  </si>
  <si>
    <t>Connector</t>
  </si>
  <si>
    <t>1812 SMD</t>
  </si>
  <si>
    <t>RR1220P-102-D</t>
  </si>
  <si>
    <t>1K</t>
  </si>
  <si>
    <t>RR1220P-681-D</t>
  </si>
  <si>
    <t>RMCF0805JT100RTR-ND</t>
  </si>
  <si>
    <t>RMCF1/10515%RTR-ND</t>
  </si>
  <si>
    <t>RMCF0805JT51ROTR-ND</t>
  </si>
  <si>
    <t>RC0805FR-0749R9L</t>
  </si>
  <si>
    <t>RMCF0805ZTOR00</t>
  </si>
  <si>
    <t>RMCF1/101KJRTR-ND</t>
  </si>
  <si>
    <t>?</t>
  </si>
  <si>
    <t>10k</t>
  </si>
  <si>
    <t>JBEVD05/0338</t>
  </si>
  <si>
    <t>RHM49.9CTR-ND</t>
  </si>
  <si>
    <t>RNCP0805FTD4R70TR-ND</t>
  </si>
  <si>
    <t>RC0603JR-072KTL</t>
  </si>
  <si>
    <t>2.7K</t>
  </si>
  <si>
    <t>311-4.99KHRTR-ND</t>
  </si>
  <si>
    <t>RC0603FR-071K54L</t>
  </si>
  <si>
    <t>1.54K</t>
  </si>
  <si>
    <t>NRC10J332TR</t>
  </si>
  <si>
    <t>3.3K</t>
  </si>
  <si>
    <t>RC0603FR07453RL</t>
  </si>
  <si>
    <t>RR1220P-304-D</t>
  </si>
  <si>
    <t>300K</t>
  </si>
  <si>
    <t>RC0805FR-0720KL</t>
  </si>
  <si>
    <t>RMCF0805JT10KOTR-ND</t>
  </si>
  <si>
    <t>RMCF1/1010KJRTR-ND</t>
  </si>
  <si>
    <t>RHM10.0KCTR-ND</t>
  </si>
  <si>
    <t>RMCF1/8470JRTR-ND</t>
  </si>
  <si>
    <t>470K</t>
  </si>
  <si>
    <t>RK73H2BTTD1130F</t>
  </si>
  <si>
    <t>311-60.4FRTR-ND</t>
  </si>
  <si>
    <t>311-60.4FRDKR-ND</t>
  </si>
  <si>
    <t>RC1206JR-0730RL</t>
  </si>
  <si>
    <t>490-1741-2-ND</t>
  </si>
  <si>
    <t>2.2UF</t>
  </si>
  <si>
    <t>GRM21BF51C225ZA01L</t>
  </si>
  <si>
    <t>GRM21BR71C105MA01L</t>
  </si>
  <si>
    <t>1.0UF</t>
  </si>
  <si>
    <t>500R15N270KV4T</t>
  </si>
  <si>
    <t>27pF</t>
  </si>
  <si>
    <t>C0805C103K5RAC7800</t>
  </si>
  <si>
    <t>0.01UF</t>
  </si>
  <si>
    <t>311-1140-2-ND</t>
  </si>
  <si>
    <t>0.1UF</t>
  </si>
  <si>
    <t>RC0603JR-0720KL</t>
  </si>
  <si>
    <t>RMCF1/16.10K5%R</t>
  </si>
  <si>
    <t>RMCF1/1610KJRTR-ND</t>
  </si>
  <si>
    <t>RMCF0603JT10KOTR-ND</t>
  </si>
  <si>
    <t>RMCF1/1610KFRTR-ND</t>
  </si>
  <si>
    <t>RC0603FR-0715KL</t>
  </si>
  <si>
    <t>15K</t>
  </si>
  <si>
    <t>ERA3AEB153V</t>
  </si>
  <si>
    <t>RR0816P-203-D</t>
  </si>
  <si>
    <t>RC0603FR-0720KL</t>
  </si>
  <si>
    <t>RMCF1/1620K5%R</t>
  </si>
  <si>
    <t>RR08P20.5KDTR-ND</t>
  </si>
  <si>
    <t>20.5K</t>
  </si>
  <si>
    <t>RC0603JR-0722KL</t>
  </si>
  <si>
    <t>22K</t>
  </si>
  <si>
    <t>MCR10EZHF3002</t>
  </si>
  <si>
    <t>RC0603FR-0730K92</t>
  </si>
  <si>
    <t>30.9K</t>
  </si>
  <si>
    <t>RC0603FR-0764R9L</t>
  </si>
  <si>
    <t>RC0603JR-0733RL</t>
  </si>
  <si>
    <t>RC0603FR0753R6L</t>
  </si>
  <si>
    <t>RC0603JR-074R7L</t>
  </si>
  <si>
    <t>RC0603JR-0715RL</t>
  </si>
  <si>
    <t>RC1608J000CS</t>
  </si>
  <si>
    <t>RC0603FR-07113RL</t>
  </si>
  <si>
    <t>RC0603FR-0768RL</t>
  </si>
  <si>
    <t>RC0603FR07100RL</t>
  </si>
  <si>
    <t>RC0603JR07120RL</t>
  </si>
  <si>
    <t>WR06X1500FTL</t>
  </si>
  <si>
    <t>C1608C0G1H100D</t>
  </si>
  <si>
    <t>C0603C100J5GAC7867</t>
  </si>
  <si>
    <t>ECJ1VB1H103K</t>
  </si>
  <si>
    <t>1276-2154-2-ND</t>
  </si>
  <si>
    <t>C1608C0G1H150J</t>
  </si>
  <si>
    <t>15PF</t>
  </si>
  <si>
    <t>C1608C0G1H220J</t>
  </si>
  <si>
    <t>GRM1885C2A390JA01D</t>
  </si>
  <si>
    <t>39PF</t>
  </si>
  <si>
    <t>0603N390J500CT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</si>
</sst>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quotePrefix="1" applyAlignment="1">
      <alignment horizontal="left" indent="1"/>
    </xf>
    <xf numFmtId="49" fontId="0" fillId="0" borderId="0" xfId="0" quotePrefix="1" applyNumberFormat="1" applyAlignment="1">
      <alignment horizontal="center"/>
    </xf>
    <xf numFmtId="0" fontId="0" fillId="0" borderId="0" xfId="0" applyFill="1"/>
    <xf numFmtId="0" fontId="0" fillId="0" borderId="0" xfId="0" quotePrefix="1" applyFill="1"/>
    <xf numFmtId="0" fontId="1" fillId="2" borderId="0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4" borderId="0" xfId="0" applyFont="1" applyFill="1"/>
    <xf numFmtId="0" fontId="1" fillId="8" borderId="0" xfId="0" applyFont="1" applyFill="1"/>
    <xf numFmtId="49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0" fontId="4" fillId="0" borderId="0" xfId="0" quotePrefix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Fill="1" applyBorder="1"/>
    <xf numFmtId="0" fontId="1" fillId="5" borderId="0" xfId="0" applyFont="1" applyFill="1" applyBorder="1"/>
    <xf numFmtId="0" fontId="0" fillId="0" borderId="0" xfId="0" applyBorder="1"/>
    <xf numFmtId="0" fontId="0" fillId="0" borderId="0" xfId="0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L206"/>
  <sheetViews>
    <sheetView topLeftCell="A165" zoomScaleNormal="100" workbookViewId="0">
      <selection activeCell="G200" sqref="G200"/>
    </sheetView>
  </sheetViews>
  <sheetFormatPr defaultRowHeight="13.8"/>
  <cols>
    <col min="1" max="1" width="27.69921875" style="26" customWidth="1"/>
    <col min="2" max="2" width="13.69921875" style="26" customWidth="1"/>
    <col min="3" max="4" width="10.59765625" style="26" customWidth="1"/>
    <col min="5" max="6" width="19.69921875" style="26" customWidth="1"/>
    <col min="7" max="7" width="21.19921875" style="26" customWidth="1"/>
    <col min="8" max="8" width="10.8984375" style="26" customWidth="1"/>
    <col min="9" max="9" width="13.5" style="26" customWidth="1"/>
    <col min="10" max="10" width="12.796875" style="26" customWidth="1"/>
    <col min="11" max="12" width="18.69921875" style="26" customWidth="1"/>
    <col min="13" max="13" width="20.5" style="26" customWidth="1"/>
    <col min="14" max="15" width="18.69921875" style="26" customWidth="1"/>
    <col min="16" max="16" width="15.69921875" style="26" customWidth="1"/>
    <col min="17" max="18" width="20.5" style="26" customWidth="1"/>
    <col min="19" max="19" width="13" style="26" customWidth="1"/>
    <col min="20" max="20" width="14.8984375" style="26" customWidth="1"/>
    <col min="21" max="21" width="27.19921875" style="26" customWidth="1"/>
    <col min="22" max="26" width="15.3984375" style="26" customWidth="1"/>
    <col min="27" max="27" width="19.3984375" style="26" customWidth="1"/>
    <col min="28" max="31" width="33.09765625" style="26" customWidth="1"/>
    <col min="32" max="32" width="49.8984375" style="26" customWidth="1"/>
    <col min="33" max="33" width="23.59765625" style="26" customWidth="1"/>
    <col min="34" max="34" width="18.09765625" style="26" customWidth="1"/>
    <col min="35" max="35" width="49.8984375" style="26" customWidth="1"/>
    <col min="36" max="36" width="24" style="26" customWidth="1"/>
    <col min="37" max="37" width="19.19921875" style="26" customWidth="1"/>
    <col min="38" max="38" width="32.5" style="26" customWidth="1"/>
    <col min="39" max="39" width="33.59765625" style="26" customWidth="1"/>
    <col min="40" max="40" width="15.69921875" style="26" customWidth="1"/>
    <col min="41" max="41" width="15.8984375" style="26" customWidth="1"/>
    <col min="42" max="42" width="18.8984375" style="26" customWidth="1"/>
    <col min="43" max="45" width="8.796875" style="26"/>
    <col min="46" max="46" width="15.59765625" style="26" customWidth="1"/>
    <col min="47" max="47" width="17.69921875" style="26" customWidth="1"/>
    <col min="48" max="16384" width="8.796875" style="26"/>
  </cols>
  <sheetData>
    <row r="1" spans="1:12">
      <c r="A1" s="44" t="s">
        <v>72</v>
      </c>
      <c r="B1" s="44"/>
      <c r="C1" s="44"/>
      <c r="D1" s="44"/>
      <c r="E1" s="44"/>
      <c r="F1" s="27"/>
    </row>
    <row r="2" spans="1:12">
      <c r="A2" s="26" t="s">
        <v>173</v>
      </c>
      <c r="B2" s="26" t="s">
        <v>174</v>
      </c>
      <c r="C2" s="26" t="s">
        <v>218</v>
      </c>
      <c r="D2" s="26" t="s">
        <v>176</v>
      </c>
      <c r="E2" s="28" t="s">
        <v>175</v>
      </c>
      <c r="F2" s="28" t="s">
        <v>599</v>
      </c>
    </row>
    <row r="3" spans="1:12">
      <c r="B3" s="38">
        <v>0</v>
      </c>
      <c r="C3" s="26">
        <f t="shared" ref="C3:C34" si="0">IF(RIGHT(B3,1)="k", VALUE(LEFT(B3,LEN(B3)-1))*1000, VALUE(B3))</f>
        <v>0</v>
      </c>
      <c r="E3" s="3" t="s">
        <v>178</v>
      </c>
      <c r="F3" s="3"/>
      <c r="K3" s="3"/>
      <c r="L3" s="3"/>
    </row>
    <row r="4" spans="1:12">
      <c r="B4" s="38">
        <v>0</v>
      </c>
      <c r="C4" s="26">
        <f t="shared" si="0"/>
        <v>0</v>
      </c>
      <c r="E4" s="4" t="s">
        <v>187</v>
      </c>
      <c r="F4" s="4"/>
    </row>
    <row r="5" spans="1:12">
      <c r="A5" s="26" t="s">
        <v>291</v>
      </c>
      <c r="C5" s="26">
        <f t="shared" si="0"/>
        <v>0</v>
      </c>
      <c r="E5" s="4" t="s">
        <v>284</v>
      </c>
      <c r="F5" s="4"/>
      <c r="K5" s="3"/>
      <c r="L5" s="3"/>
    </row>
    <row r="6" spans="1:12">
      <c r="A6" s="26" t="s">
        <v>311</v>
      </c>
      <c r="B6" s="26">
        <v>0</v>
      </c>
      <c r="C6" s="26">
        <f t="shared" si="0"/>
        <v>0</v>
      </c>
      <c r="E6" s="3" t="s">
        <v>312</v>
      </c>
      <c r="F6" s="3"/>
      <c r="H6" s="3"/>
      <c r="J6" s="3"/>
      <c r="K6" s="3"/>
      <c r="L6" s="3"/>
    </row>
    <row r="7" spans="1:12">
      <c r="A7" s="26" t="s">
        <v>303</v>
      </c>
      <c r="B7" s="26">
        <v>4.12</v>
      </c>
      <c r="C7" s="26">
        <f t="shared" si="0"/>
        <v>4.12</v>
      </c>
      <c r="E7" s="4" t="s">
        <v>302</v>
      </c>
      <c r="F7" s="4"/>
      <c r="K7" s="3"/>
      <c r="L7" s="3"/>
    </row>
    <row r="8" spans="1:12">
      <c r="A8" s="26" t="s">
        <v>304</v>
      </c>
      <c r="B8" s="26">
        <v>4.99</v>
      </c>
      <c r="C8" s="26">
        <f t="shared" si="0"/>
        <v>4.99</v>
      </c>
      <c r="E8" s="4" t="s">
        <v>302</v>
      </c>
      <c r="F8" s="4"/>
      <c r="K8" s="3"/>
      <c r="L8" s="3"/>
    </row>
    <row r="9" spans="1:12">
      <c r="B9" s="38">
        <v>10</v>
      </c>
      <c r="C9" s="26">
        <f t="shared" si="0"/>
        <v>10</v>
      </c>
      <c r="E9" s="4" t="s">
        <v>179</v>
      </c>
      <c r="F9" s="4"/>
      <c r="K9" s="3"/>
      <c r="L9" s="3"/>
    </row>
    <row r="10" spans="1:12">
      <c r="A10" s="26" t="s">
        <v>286</v>
      </c>
      <c r="B10" s="26">
        <v>13</v>
      </c>
      <c r="C10" s="26">
        <f t="shared" si="0"/>
        <v>13</v>
      </c>
      <c r="E10" s="4" t="s">
        <v>284</v>
      </c>
      <c r="F10" s="4"/>
      <c r="G10" s="3"/>
      <c r="K10" s="3"/>
      <c r="L10" s="3"/>
    </row>
    <row r="11" spans="1:12">
      <c r="B11" s="38">
        <v>15</v>
      </c>
      <c r="C11" s="26">
        <f t="shared" si="0"/>
        <v>15</v>
      </c>
      <c r="E11" s="4" t="s">
        <v>181</v>
      </c>
      <c r="F11" s="4"/>
      <c r="K11" s="3"/>
      <c r="L11" s="3"/>
    </row>
    <row r="12" spans="1:12">
      <c r="B12" s="38">
        <v>16.5</v>
      </c>
      <c r="C12" s="26">
        <f t="shared" si="0"/>
        <v>16.5</v>
      </c>
      <c r="E12" s="4" t="s">
        <v>178</v>
      </c>
      <c r="F12" s="4"/>
      <c r="K12" s="3"/>
      <c r="L12" s="3"/>
    </row>
    <row r="13" spans="1:12">
      <c r="B13" s="38">
        <v>24.9</v>
      </c>
      <c r="C13" s="26">
        <f t="shared" si="0"/>
        <v>24.9</v>
      </c>
      <c r="E13" s="4" t="s">
        <v>188</v>
      </c>
      <c r="F13" s="4"/>
      <c r="K13" s="3"/>
      <c r="L13" s="3"/>
    </row>
    <row r="14" spans="1:12">
      <c r="A14" s="26" t="s">
        <v>285</v>
      </c>
      <c r="B14" s="26">
        <v>24.9</v>
      </c>
      <c r="C14" s="26">
        <f t="shared" si="0"/>
        <v>24.9</v>
      </c>
      <c r="E14" s="4" t="s">
        <v>284</v>
      </c>
      <c r="F14" s="4"/>
      <c r="K14" s="3"/>
      <c r="L14" s="3"/>
    </row>
    <row r="15" spans="1:12">
      <c r="B15" s="38">
        <v>27.4</v>
      </c>
      <c r="C15" s="26">
        <f t="shared" si="0"/>
        <v>27.4</v>
      </c>
      <c r="E15" s="4" t="s">
        <v>187</v>
      </c>
      <c r="F15" s="4"/>
    </row>
    <row r="16" spans="1:12">
      <c r="A16" s="26" t="s">
        <v>249</v>
      </c>
      <c r="B16" s="26">
        <v>40.200000000000003</v>
      </c>
      <c r="C16" s="26">
        <f t="shared" si="0"/>
        <v>40.200000000000003</v>
      </c>
      <c r="E16" s="3" t="s">
        <v>179</v>
      </c>
      <c r="F16" s="3"/>
      <c r="J16" s="3"/>
    </row>
    <row r="17" spans="1:12">
      <c r="A17" s="26" t="s">
        <v>243</v>
      </c>
      <c r="B17" s="39">
        <v>56</v>
      </c>
      <c r="C17" s="39">
        <f t="shared" si="0"/>
        <v>56</v>
      </c>
      <c r="E17" s="3" t="s">
        <v>179</v>
      </c>
      <c r="F17" s="3"/>
      <c r="K17" s="3"/>
      <c r="L17" s="3"/>
    </row>
    <row r="18" spans="1:12">
      <c r="A18" s="26" t="s">
        <v>283</v>
      </c>
      <c r="B18" s="39">
        <v>75</v>
      </c>
      <c r="C18" s="26">
        <f t="shared" si="0"/>
        <v>75</v>
      </c>
      <c r="E18" s="4" t="s">
        <v>284</v>
      </c>
      <c r="F18" s="4"/>
    </row>
    <row r="19" spans="1:12">
      <c r="A19" s="26" t="s">
        <v>310</v>
      </c>
      <c r="B19" s="26">
        <v>82</v>
      </c>
      <c r="C19" s="26">
        <f t="shared" si="0"/>
        <v>82</v>
      </c>
      <c r="E19" s="26">
        <v>1206</v>
      </c>
      <c r="K19" s="3"/>
      <c r="L19" s="3"/>
    </row>
    <row r="20" spans="1:12">
      <c r="A20" s="26" t="s">
        <v>306</v>
      </c>
      <c r="B20" s="26">
        <v>88.7</v>
      </c>
      <c r="C20" s="26">
        <f t="shared" si="0"/>
        <v>88.7</v>
      </c>
      <c r="E20" s="4" t="s">
        <v>302</v>
      </c>
      <c r="F20" s="4"/>
      <c r="K20" s="3"/>
      <c r="L20" s="3"/>
    </row>
    <row r="21" spans="1:12">
      <c r="B21" s="38">
        <v>91</v>
      </c>
      <c r="C21" s="26">
        <f t="shared" si="0"/>
        <v>91</v>
      </c>
      <c r="E21" s="4" t="s">
        <v>179</v>
      </c>
      <c r="F21" s="4"/>
      <c r="K21" s="3"/>
      <c r="L21" s="3"/>
    </row>
    <row r="22" spans="1:12">
      <c r="B22" s="38">
        <v>100</v>
      </c>
      <c r="C22" s="26">
        <f t="shared" si="0"/>
        <v>100</v>
      </c>
      <c r="E22" s="4" t="s">
        <v>178</v>
      </c>
      <c r="F22" s="4"/>
      <c r="G22" s="3"/>
      <c r="K22" s="3"/>
      <c r="L22" s="3"/>
    </row>
    <row r="23" spans="1:12">
      <c r="A23" s="26" t="s">
        <v>290</v>
      </c>
      <c r="B23" s="26">
        <v>100</v>
      </c>
      <c r="C23" s="26">
        <f t="shared" si="0"/>
        <v>100</v>
      </c>
      <c r="E23" s="4" t="s">
        <v>284</v>
      </c>
      <c r="F23" s="4"/>
      <c r="K23" s="3"/>
      <c r="L23" s="3"/>
    </row>
    <row r="24" spans="1:12">
      <c r="A24" s="26" t="s">
        <v>301</v>
      </c>
      <c r="B24" s="26">
        <v>100</v>
      </c>
      <c r="C24" s="26">
        <f t="shared" si="0"/>
        <v>100</v>
      </c>
      <c r="E24" s="4" t="s">
        <v>302</v>
      </c>
      <c r="F24" s="4"/>
      <c r="K24" s="3"/>
      <c r="L24" s="3"/>
    </row>
    <row r="25" spans="1:12">
      <c r="A25" s="26" t="s">
        <v>259</v>
      </c>
      <c r="B25" s="26">
        <v>133</v>
      </c>
      <c r="C25" s="26">
        <f t="shared" si="0"/>
        <v>133</v>
      </c>
      <c r="E25" s="3" t="s">
        <v>179</v>
      </c>
      <c r="F25" s="3"/>
      <c r="K25" s="3"/>
      <c r="L25" s="3"/>
    </row>
    <row r="26" spans="1:12">
      <c r="A26" s="26" t="s">
        <v>305</v>
      </c>
      <c r="B26" s="26">
        <v>215</v>
      </c>
      <c r="C26" s="26">
        <f t="shared" si="0"/>
        <v>215</v>
      </c>
      <c r="E26" s="26">
        <v>1206</v>
      </c>
      <c r="K26" s="3"/>
      <c r="L26" s="3"/>
    </row>
    <row r="27" spans="1:12">
      <c r="A27" s="26" t="s">
        <v>307</v>
      </c>
      <c r="B27" s="26">
        <v>215</v>
      </c>
      <c r="C27" s="26">
        <f t="shared" si="0"/>
        <v>215</v>
      </c>
      <c r="E27" s="4" t="s">
        <v>284</v>
      </c>
      <c r="F27" s="4"/>
      <c r="K27" s="3"/>
      <c r="L27" s="3"/>
    </row>
    <row r="28" spans="1:12">
      <c r="A28" s="26" t="s">
        <v>287</v>
      </c>
      <c r="B28" s="26">
        <v>220</v>
      </c>
      <c r="C28" s="26">
        <f t="shared" si="0"/>
        <v>220</v>
      </c>
      <c r="E28" s="4" t="s">
        <v>284</v>
      </c>
      <c r="F28" s="4"/>
      <c r="K28" s="3"/>
      <c r="L28" s="3"/>
    </row>
    <row r="29" spans="1:12">
      <c r="A29" s="26" t="s">
        <v>248</v>
      </c>
      <c r="B29" s="26">
        <v>240</v>
      </c>
      <c r="C29" s="26">
        <f t="shared" si="0"/>
        <v>240</v>
      </c>
      <c r="E29" s="3" t="s">
        <v>179</v>
      </c>
      <c r="F29" s="3"/>
      <c r="K29" s="3"/>
      <c r="L29" s="3"/>
    </row>
    <row r="30" spans="1:12">
      <c r="A30" s="26" t="s">
        <v>289</v>
      </c>
      <c r="B30" s="26">
        <v>249</v>
      </c>
      <c r="C30" s="26">
        <f t="shared" si="0"/>
        <v>249</v>
      </c>
      <c r="E30" s="26">
        <v>1206</v>
      </c>
      <c r="K30" s="3"/>
      <c r="L30" s="3"/>
    </row>
    <row r="31" spans="1:12">
      <c r="A31" s="26" t="s">
        <v>258</v>
      </c>
      <c r="B31" s="26">
        <v>287</v>
      </c>
      <c r="C31" s="26">
        <f t="shared" si="0"/>
        <v>287</v>
      </c>
      <c r="E31" s="3" t="s">
        <v>179</v>
      </c>
      <c r="F31" s="3"/>
      <c r="K31" s="3"/>
      <c r="L31" s="3"/>
    </row>
    <row r="32" spans="1:12">
      <c r="B32" s="38">
        <v>300</v>
      </c>
      <c r="C32" s="26">
        <f t="shared" si="0"/>
        <v>300</v>
      </c>
      <c r="E32" s="4" t="s">
        <v>187</v>
      </c>
      <c r="F32" s="4"/>
      <c r="K32" s="3"/>
      <c r="L32" s="3"/>
    </row>
    <row r="33" spans="1:12">
      <c r="A33" s="26" t="s">
        <v>245</v>
      </c>
      <c r="B33" s="26">
        <v>402</v>
      </c>
      <c r="C33" s="26">
        <f t="shared" si="0"/>
        <v>402</v>
      </c>
      <c r="E33" s="3" t="s">
        <v>179</v>
      </c>
      <c r="F33" s="3"/>
      <c r="K33" s="3"/>
      <c r="L33" s="3"/>
    </row>
    <row r="34" spans="1:12">
      <c r="A34" s="26" t="s">
        <v>288</v>
      </c>
      <c r="B34" s="26">
        <v>402</v>
      </c>
      <c r="C34" s="26">
        <f t="shared" si="0"/>
        <v>402</v>
      </c>
      <c r="E34" s="4" t="s">
        <v>284</v>
      </c>
      <c r="F34" s="4"/>
      <c r="K34" s="3"/>
      <c r="L34" s="3"/>
    </row>
    <row r="35" spans="1:12">
      <c r="A35" s="26" t="s">
        <v>244</v>
      </c>
      <c r="B35" s="26">
        <v>453</v>
      </c>
      <c r="C35" s="26">
        <f t="shared" ref="C35:C66" si="1">IF(RIGHT(B35,1)="k", VALUE(LEFT(B35,LEN(B35)-1))*1000, VALUE(B35))</f>
        <v>453</v>
      </c>
      <c r="E35" s="7" t="s">
        <v>179</v>
      </c>
      <c r="F35" s="7"/>
      <c r="K35" s="3"/>
      <c r="L35" s="3"/>
    </row>
    <row r="36" spans="1:12">
      <c r="B36" s="38">
        <v>715</v>
      </c>
      <c r="C36" s="26">
        <f t="shared" si="1"/>
        <v>715</v>
      </c>
      <c r="E36" s="3" t="s">
        <v>179</v>
      </c>
      <c r="F36" s="3"/>
      <c r="K36" s="3"/>
      <c r="L36" s="3"/>
    </row>
    <row r="37" spans="1:12">
      <c r="B37" s="38" t="s">
        <v>217</v>
      </c>
      <c r="C37" s="26">
        <f t="shared" si="1"/>
        <v>1000</v>
      </c>
      <c r="E37" s="4" t="s">
        <v>179</v>
      </c>
      <c r="F37" s="4"/>
      <c r="K37" s="3"/>
      <c r="L37" s="3"/>
    </row>
    <row r="38" spans="1:12">
      <c r="B38" s="38" t="s">
        <v>180</v>
      </c>
      <c r="C38" s="26">
        <f t="shared" si="1"/>
        <v>1050</v>
      </c>
      <c r="E38" s="4" t="s">
        <v>179</v>
      </c>
      <c r="F38" s="4"/>
      <c r="H38" s="3"/>
      <c r="J38" s="3"/>
      <c r="K38" s="3"/>
      <c r="L38" s="3"/>
    </row>
    <row r="39" spans="1:12">
      <c r="B39" s="38" t="s">
        <v>216</v>
      </c>
      <c r="C39" s="26">
        <f t="shared" si="1"/>
        <v>1200</v>
      </c>
      <c r="E39" s="4" t="s">
        <v>187</v>
      </c>
      <c r="F39" s="4"/>
      <c r="K39" s="3"/>
      <c r="L39" s="3"/>
    </row>
    <row r="40" spans="1:12">
      <c r="B40" s="38" t="s">
        <v>215</v>
      </c>
      <c r="C40" s="26">
        <f t="shared" si="1"/>
        <v>1300</v>
      </c>
      <c r="E40" s="4" t="s">
        <v>179</v>
      </c>
      <c r="F40" s="4"/>
      <c r="K40" s="3"/>
      <c r="L40" s="3"/>
    </row>
    <row r="41" spans="1:12">
      <c r="B41" s="38" t="s">
        <v>215</v>
      </c>
      <c r="C41" s="26">
        <f t="shared" si="1"/>
        <v>1300</v>
      </c>
      <c r="E41" s="4" t="s">
        <v>189</v>
      </c>
      <c r="F41" s="4"/>
      <c r="K41" s="3"/>
      <c r="L41" s="3"/>
    </row>
    <row r="42" spans="1:12">
      <c r="B42" s="38" t="s">
        <v>215</v>
      </c>
      <c r="C42" s="26">
        <f t="shared" si="1"/>
        <v>1300</v>
      </c>
      <c r="E42" s="4" t="s">
        <v>187</v>
      </c>
      <c r="F42" s="4"/>
      <c r="K42" s="3"/>
      <c r="L42" s="3"/>
    </row>
    <row r="43" spans="1:12">
      <c r="B43" s="38" t="s">
        <v>214</v>
      </c>
      <c r="C43" s="26">
        <f t="shared" si="1"/>
        <v>1500</v>
      </c>
      <c r="E43" s="4" t="s">
        <v>187</v>
      </c>
      <c r="F43" s="4"/>
      <c r="K43" s="3"/>
      <c r="L43" s="3"/>
    </row>
    <row r="44" spans="1:12">
      <c r="A44" s="26" t="s">
        <v>276</v>
      </c>
      <c r="B44" s="26" t="s">
        <v>277</v>
      </c>
      <c r="C44" s="26">
        <f t="shared" si="1"/>
        <v>2000</v>
      </c>
      <c r="E44" s="3" t="s">
        <v>179</v>
      </c>
      <c r="F44" s="3"/>
      <c r="K44" s="3"/>
      <c r="L44" s="3"/>
    </row>
    <row r="45" spans="1:12">
      <c r="A45" s="26" t="s">
        <v>308</v>
      </c>
      <c r="B45" s="26" t="s">
        <v>309</v>
      </c>
      <c r="C45" s="26">
        <f t="shared" si="1"/>
        <v>2210</v>
      </c>
      <c r="E45" s="4" t="s">
        <v>302</v>
      </c>
      <c r="F45" s="4"/>
    </row>
    <row r="46" spans="1:12">
      <c r="B46" s="38" t="s">
        <v>177</v>
      </c>
      <c r="C46" s="26">
        <f t="shared" si="1"/>
        <v>3320</v>
      </c>
      <c r="E46" s="3" t="s">
        <v>179</v>
      </c>
      <c r="F46" s="3"/>
      <c r="K46" s="3"/>
      <c r="L46" s="3"/>
    </row>
    <row r="47" spans="1:12">
      <c r="B47" s="38" t="s">
        <v>177</v>
      </c>
      <c r="C47" s="26">
        <f t="shared" si="1"/>
        <v>3320</v>
      </c>
      <c r="E47" s="4" t="s">
        <v>187</v>
      </c>
      <c r="F47" s="4"/>
      <c r="K47" s="3"/>
      <c r="L47" s="3"/>
    </row>
    <row r="48" spans="1:12">
      <c r="B48" s="38" t="s">
        <v>213</v>
      </c>
      <c r="C48" s="26">
        <f t="shared" si="1"/>
        <v>3920</v>
      </c>
      <c r="E48" s="4" t="s">
        <v>187</v>
      </c>
      <c r="F48" s="4"/>
      <c r="J48" s="3"/>
      <c r="K48" s="3"/>
      <c r="L48" s="3"/>
    </row>
    <row r="49" spans="1:12">
      <c r="A49" s="26" t="s">
        <v>267</v>
      </c>
      <c r="B49" s="26" t="s">
        <v>268</v>
      </c>
      <c r="C49" s="26">
        <f t="shared" si="1"/>
        <v>4750</v>
      </c>
      <c r="E49" s="3" t="s">
        <v>179</v>
      </c>
      <c r="F49" s="3"/>
      <c r="K49" s="3"/>
      <c r="L49" s="3"/>
    </row>
    <row r="50" spans="1:12">
      <c r="B50" s="38" t="s">
        <v>212</v>
      </c>
      <c r="C50" s="26">
        <f t="shared" si="1"/>
        <v>5000</v>
      </c>
      <c r="E50" s="4" t="s">
        <v>187</v>
      </c>
      <c r="F50" s="4"/>
    </row>
    <row r="51" spans="1:12">
      <c r="B51" s="38" t="s">
        <v>211</v>
      </c>
      <c r="C51" s="26">
        <f t="shared" si="1"/>
        <v>6650</v>
      </c>
      <c r="E51" s="4" t="s">
        <v>187</v>
      </c>
      <c r="F51" s="4"/>
      <c r="K51" s="3"/>
      <c r="L51" s="3"/>
    </row>
    <row r="52" spans="1:12">
      <c r="A52" s="26" t="s">
        <v>273</v>
      </c>
      <c r="B52" s="26" t="s">
        <v>274</v>
      </c>
      <c r="C52" s="26">
        <f t="shared" si="1"/>
        <v>7150</v>
      </c>
      <c r="E52" s="3" t="s">
        <v>179</v>
      </c>
      <c r="F52" s="3"/>
      <c r="K52" s="3"/>
      <c r="L52" s="3"/>
    </row>
    <row r="53" spans="1:12">
      <c r="A53" s="26" t="s">
        <v>275</v>
      </c>
      <c r="B53" s="26" t="s">
        <v>274</v>
      </c>
      <c r="C53" s="26">
        <f t="shared" si="1"/>
        <v>7150</v>
      </c>
      <c r="E53" s="3" t="s">
        <v>179</v>
      </c>
      <c r="F53" s="3"/>
      <c r="G53" s="3"/>
      <c r="K53" s="3"/>
      <c r="L53" s="3"/>
    </row>
    <row r="54" spans="1:12">
      <c r="B54" s="38" t="s">
        <v>183</v>
      </c>
      <c r="C54" s="26">
        <f t="shared" si="1"/>
        <v>8060.0000000000009</v>
      </c>
      <c r="E54" s="4" t="s">
        <v>178</v>
      </c>
      <c r="F54" s="4"/>
      <c r="K54" s="3"/>
      <c r="L54" s="3"/>
    </row>
    <row r="55" spans="1:12">
      <c r="A55" s="26" t="s">
        <v>256</v>
      </c>
      <c r="B55" s="26" t="s">
        <v>257</v>
      </c>
      <c r="C55" s="26">
        <f t="shared" si="1"/>
        <v>8870</v>
      </c>
      <c r="E55" s="3" t="s">
        <v>197</v>
      </c>
      <c r="F55" s="3"/>
      <c r="K55" s="3"/>
      <c r="L55" s="3"/>
    </row>
    <row r="56" spans="1:12">
      <c r="B56" s="38" t="s">
        <v>210</v>
      </c>
      <c r="C56" s="26">
        <f t="shared" si="1"/>
        <v>12000</v>
      </c>
      <c r="E56" s="4" t="s">
        <v>181</v>
      </c>
      <c r="F56" s="4"/>
      <c r="K56" s="3"/>
      <c r="L56" s="3"/>
    </row>
    <row r="57" spans="1:12">
      <c r="A57" s="26" t="s">
        <v>269</v>
      </c>
      <c r="B57" s="26" t="s">
        <v>270</v>
      </c>
      <c r="C57" s="26">
        <f t="shared" si="1"/>
        <v>12100</v>
      </c>
      <c r="E57" s="3" t="s">
        <v>179</v>
      </c>
      <c r="F57" s="3"/>
      <c r="K57" s="3"/>
      <c r="L57" s="3"/>
    </row>
    <row r="58" spans="1:12">
      <c r="B58" s="38" t="s">
        <v>209</v>
      </c>
      <c r="C58" s="26">
        <f t="shared" si="1"/>
        <v>16900</v>
      </c>
      <c r="E58" s="4" t="s">
        <v>181</v>
      </c>
      <c r="F58" s="4"/>
      <c r="K58" s="3"/>
      <c r="L58" s="3"/>
    </row>
    <row r="59" spans="1:12">
      <c r="A59" s="26" t="s">
        <v>261</v>
      </c>
      <c r="B59" s="26" t="s">
        <v>262</v>
      </c>
      <c r="C59" s="26">
        <f t="shared" si="1"/>
        <v>17400</v>
      </c>
      <c r="E59" s="3" t="s">
        <v>179</v>
      </c>
      <c r="F59" s="3"/>
      <c r="K59" s="3"/>
      <c r="L59" s="3"/>
    </row>
    <row r="60" spans="1:12">
      <c r="A60" s="26" t="s">
        <v>278</v>
      </c>
      <c r="B60" s="26" t="s">
        <v>262</v>
      </c>
      <c r="C60" s="26">
        <f t="shared" si="1"/>
        <v>17400</v>
      </c>
      <c r="E60" s="3" t="s">
        <v>179</v>
      </c>
      <c r="F60" s="3"/>
      <c r="K60" s="3"/>
      <c r="L60" s="3"/>
    </row>
    <row r="61" spans="1:12">
      <c r="B61" s="38" t="s">
        <v>182</v>
      </c>
      <c r="C61" s="26">
        <f t="shared" si="1"/>
        <v>18000</v>
      </c>
      <c r="E61" s="4" t="s">
        <v>178</v>
      </c>
      <c r="F61" s="4"/>
      <c r="K61" s="3"/>
      <c r="L61" s="3"/>
    </row>
    <row r="62" spans="1:12">
      <c r="A62" s="26" t="s">
        <v>263</v>
      </c>
      <c r="B62" s="26" t="s">
        <v>264</v>
      </c>
      <c r="C62" s="26">
        <f t="shared" si="1"/>
        <v>20000</v>
      </c>
      <c r="E62" s="3" t="s">
        <v>179</v>
      </c>
      <c r="F62" s="3"/>
      <c r="K62" s="3"/>
      <c r="L62" s="3"/>
    </row>
    <row r="63" spans="1:12">
      <c r="A63" s="26" t="s">
        <v>292</v>
      </c>
      <c r="B63" s="26" t="s">
        <v>293</v>
      </c>
      <c r="C63" s="26">
        <f t="shared" si="1"/>
        <v>20000</v>
      </c>
      <c r="E63" s="4" t="s">
        <v>294</v>
      </c>
      <c r="F63" s="4"/>
      <c r="K63" s="3"/>
      <c r="L63" s="3"/>
    </row>
    <row r="64" spans="1:12">
      <c r="A64" s="26" t="s">
        <v>265</v>
      </c>
      <c r="B64" s="26" t="s">
        <v>266</v>
      </c>
      <c r="C64" s="26">
        <f t="shared" si="1"/>
        <v>27000</v>
      </c>
      <c r="E64" s="3" t="s">
        <v>179</v>
      </c>
      <c r="F64" s="3"/>
      <c r="K64" s="3"/>
      <c r="L64" s="3"/>
    </row>
    <row r="65" spans="1:12">
      <c r="A65" s="26" t="s">
        <v>271</v>
      </c>
      <c r="B65" s="26" t="s">
        <v>272</v>
      </c>
      <c r="C65" s="26">
        <f t="shared" si="1"/>
        <v>28000</v>
      </c>
      <c r="E65" s="3" t="s">
        <v>179</v>
      </c>
      <c r="F65" s="3"/>
      <c r="K65" s="3"/>
      <c r="L65" s="3"/>
    </row>
    <row r="66" spans="1:12">
      <c r="B66" s="38" t="s">
        <v>208</v>
      </c>
      <c r="C66" s="26">
        <f t="shared" si="1"/>
        <v>30000</v>
      </c>
      <c r="E66" s="4" t="s">
        <v>179</v>
      </c>
      <c r="F66" s="4"/>
    </row>
    <row r="67" spans="1:12">
      <c r="A67" s="26" t="s">
        <v>246</v>
      </c>
      <c r="B67" s="26" t="s">
        <v>247</v>
      </c>
      <c r="C67" s="26">
        <f t="shared" ref="C67:C84" si="2">IF(RIGHT(B67,1)="k", VALUE(LEFT(B67,LEN(B67)-1))*1000, VALUE(B67))</f>
        <v>30000</v>
      </c>
      <c r="E67" s="3" t="s">
        <v>179</v>
      </c>
      <c r="F67" s="3"/>
      <c r="K67" s="3"/>
      <c r="L67" s="3"/>
    </row>
    <row r="68" spans="1:12">
      <c r="A68" s="26" t="s">
        <v>260</v>
      </c>
      <c r="B68" s="26" t="s">
        <v>247</v>
      </c>
      <c r="C68" s="26">
        <f t="shared" si="2"/>
        <v>30000</v>
      </c>
      <c r="E68" s="3" t="s">
        <v>179</v>
      </c>
      <c r="F68" s="3"/>
      <c r="K68" s="3"/>
      <c r="L68" s="3"/>
    </row>
    <row r="69" spans="1:12">
      <c r="A69" s="26" t="s">
        <v>279</v>
      </c>
      <c r="B69" s="26" t="s">
        <v>247</v>
      </c>
      <c r="C69" s="26">
        <f t="shared" si="2"/>
        <v>30000</v>
      </c>
      <c r="E69" s="3" t="s">
        <v>179</v>
      </c>
      <c r="F69" s="3"/>
      <c r="K69" s="3"/>
      <c r="L69" s="3"/>
    </row>
    <row r="70" spans="1:12">
      <c r="B70" s="38" t="s">
        <v>185</v>
      </c>
      <c r="C70" s="26">
        <f t="shared" si="2"/>
        <v>38300</v>
      </c>
      <c r="E70" s="4" t="s">
        <v>178</v>
      </c>
      <c r="F70" s="4"/>
      <c r="K70" s="3"/>
      <c r="L70" s="3"/>
    </row>
    <row r="71" spans="1:12">
      <c r="B71" s="38" t="s">
        <v>184</v>
      </c>
      <c r="C71" s="26">
        <f t="shared" si="2"/>
        <v>47000</v>
      </c>
      <c r="E71" s="4" t="s">
        <v>178</v>
      </c>
      <c r="F71" s="4"/>
      <c r="K71" s="3"/>
      <c r="L71" s="3"/>
    </row>
    <row r="72" spans="1:12">
      <c r="B72" s="38" t="s">
        <v>207</v>
      </c>
      <c r="C72" s="26">
        <f t="shared" si="2"/>
        <v>60400</v>
      </c>
      <c r="E72" s="4" t="s">
        <v>187</v>
      </c>
      <c r="F72" s="4"/>
      <c r="K72" s="3"/>
      <c r="L72" s="3"/>
    </row>
    <row r="73" spans="1:12">
      <c r="B73" s="38" t="s">
        <v>186</v>
      </c>
      <c r="C73" s="26">
        <f t="shared" si="2"/>
        <v>82000</v>
      </c>
      <c r="E73" s="4" t="s">
        <v>178</v>
      </c>
      <c r="F73" s="4"/>
      <c r="K73" s="3"/>
      <c r="L73" s="3"/>
    </row>
    <row r="74" spans="1:12">
      <c r="A74" s="26" t="s">
        <v>281</v>
      </c>
      <c r="B74" s="26" t="s">
        <v>282</v>
      </c>
      <c r="C74" s="26">
        <f t="shared" si="2"/>
        <v>88700</v>
      </c>
      <c r="K74" s="3"/>
      <c r="L74" s="3"/>
    </row>
    <row r="75" spans="1:12">
      <c r="A75" s="26" t="s">
        <v>254</v>
      </c>
      <c r="B75" s="26" t="s">
        <v>255</v>
      </c>
      <c r="C75" s="26">
        <f t="shared" si="2"/>
        <v>102000</v>
      </c>
      <c r="E75" s="3" t="s">
        <v>179</v>
      </c>
      <c r="F75" s="3"/>
      <c r="K75" s="3"/>
      <c r="L75" s="3"/>
    </row>
    <row r="76" spans="1:12">
      <c r="A76" s="26" t="s">
        <v>280</v>
      </c>
      <c r="B76" s="26" t="s">
        <v>255</v>
      </c>
      <c r="C76" s="26">
        <f t="shared" si="2"/>
        <v>102000</v>
      </c>
      <c r="E76" s="3" t="s">
        <v>179</v>
      </c>
      <c r="F76" s="3"/>
      <c r="K76" s="3"/>
      <c r="L76" s="3"/>
    </row>
    <row r="77" spans="1:12">
      <c r="A77" s="26" t="s">
        <v>252</v>
      </c>
      <c r="B77" s="26" t="s">
        <v>253</v>
      </c>
      <c r="C77" s="26">
        <f t="shared" si="2"/>
        <v>120000</v>
      </c>
      <c r="E77" s="3" t="s">
        <v>179</v>
      </c>
      <c r="F77" s="3"/>
      <c r="K77" s="3"/>
      <c r="L77" s="3"/>
    </row>
    <row r="78" spans="1:12">
      <c r="A78" s="26" t="s">
        <v>299</v>
      </c>
      <c r="B78" s="26" t="s">
        <v>300</v>
      </c>
      <c r="C78" s="26">
        <f t="shared" si="2"/>
        <v>140000</v>
      </c>
      <c r="E78" s="4" t="s">
        <v>284</v>
      </c>
      <c r="F78" s="4"/>
      <c r="K78" s="3"/>
      <c r="L78" s="3"/>
    </row>
    <row r="79" spans="1:12">
      <c r="A79" s="26" t="s">
        <v>250</v>
      </c>
      <c r="B79" s="26" t="s">
        <v>251</v>
      </c>
      <c r="C79" s="26">
        <f t="shared" si="2"/>
        <v>150000</v>
      </c>
      <c r="E79" s="3" t="s">
        <v>179</v>
      </c>
      <c r="F79" s="3"/>
      <c r="K79" s="3"/>
      <c r="L79" s="3"/>
    </row>
    <row r="80" spans="1:12">
      <c r="A80" s="26" t="s">
        <v>295</v>
      </c>
      <c r="B80" s="26" t="s">
        <v>296</v>
      </c>
      <c r="C80" s="26">
        <f t="shared" si="2"/>
        <v>180000</v>
      </c>
      <c r="E80" s="4" t="s">
        <v>284</v>
      </c>
      <c r="F80" s="4"/>
      <c r="K80" s="3"/>
      <c r="L80" s="3"/>
    </row>
    <row r="81" spans="1:12">
      <c r="B81" s="38" t="s">
        <v>206</v>
      </c>
      <c r="C81" s="26">
        <f t="shared" si="2"/>
        <v>191000</v>
      </c>
      <c r="E81" s="4" t="s">
        <v>187</v>
      </c>
      <c r="F81" s="4"/>
      <c r="K81" s="3"/>
      <c r="L81" s="3"/>
    </row>
    <row r="82" spans="1:12">
      <c r="B82" s="38" t="s">
        <v>205</v>
      </c>
      <c r="C82" s="26">
        <f t="shared" si="2"/>
        <v>200000</v>
      </c>
      <c r="E82" s="4" t="s">
        <v>181</v>
      </c>
      <c r="F82" s="4"/>
      <c r="K82" s="3"/>
      <c r="L82" s="3"/>
    </row>
    <row r="83" spans="1:12">
      <c r="A83" s="26" t="s">
        <v>297</v>
      </c>
      <c r="B83" s="26" t="s">
        <v>298</v>
      </c>
      <c r="C83" s="26">
        <f t="shared" si="2"/>
        <v>249000</v>
      </c>
      <c r="E83" s="4" t="s">
        <v>284</v>
      </c>
      <c r="F83" s="4"/>
      <c r="K83" s="3"/>
      <c r="L83" s="3"/>
    </row>
    <row r="84" spans="1:12">
      <c r="B84" s="38" t="s">
        <v>204</v>
      </c>
      <c r="C84" s="26">
        <f t="shared" si="2"/>
        <v>250000</v>
      </c>
      <c r="E84" s="4" t="s">
        <v>181</v>
      </c>
      <c r="F84" s="4"/>
    </row>
    <row r="85" spans="1:12">
      <c r="A85" s="26" t="s">
        <v>242</v>
      </c>
      <c r="B85" s="38" t="s">
        <v>203</v>
      </c>
      <c r="C85" s="26">
        <f>IF(RIGHT(B85,1)="K",VALUE(LEFT(B85,LEN(B85)-1))*1000,VALUE(B85))</f>
        <v>634000</v>
      </c>
      <c r="E85" s="4" t="s">
        <v>181</v>
      </c>
      <c r="F85" s="4"/>
    </row>
    <row r="86" spans="1:12">
      <c r="A86" s="26" t="s">
        <v>313</v>
      </c>
      <c r="B86" s="38" t="s">
        <v>314</v>
      </c>
      <c r="C86" s="26">
        <f>IF(RIGHT(B86,1)="K",VALUE(LEFT(B86,LEN(B86)-1))*1000,VALUE(B86))</f>
        <v>82000</v>
      </c>
      <c r="E86" s="3" t="s">
        <v>179</v>
      </c>
      <c r="F86" s="3"/>
    </row>
    <row r="87" spans="1:12">
      <c r="A87" s="26" t="s">
        <v>315</v>
      </c>
      <c r="B87" s="26">
        <v>3.16</v>
      </c>
      <c r="C87" s="26">
        <f t="shared" ref="C87:C130" si="3">IF(RIGHT(B87,1)="K",VALUE(LEFT(B87,LEN(B87)-1))*1000,VALUE(B87))</f>
        <v>3.16</v>
      </c>
    </row>
    <row r="88" spans="1:12">
      <c r="A88" s="26" t="s">
        <v>316</v>
      </c>
      <c r="B88" s="38" t="s">
        <v>317</v>
      </c>
      <c r="C88" s="26">
        <f t="shared" si="3"/>
        <v>3600</v>
      </c>
      <c r="E88" s="3" t="s">
        <v>179</v>
      </c>
      <c r="F88" s="3"/>
    </row>
    <row r="89" spans="1:12">
      <c r="A89" s="26" t="s">
        <v>318</v>
      </c>
      <c r="B89" s="38" t="s">
        <v>317</v>
      </c>
      <c r="C89" s="26">
        <f t="shared" si="3"/>
        <v>3600</v>
      </c>
      <c r="E89" s="3" t="s">
        <v>179</v>
      </c>
      <c r="F89" s="3"/>
    </row>
    <row r="90" spans="1:12">
      <c r="A90" s="26" t="s">
        <v>319</v>
      </c>
      <c r="B90" s="26">
        <v>150</v>
      </c>
      <c r="C90" s="26">
        <f t="shared" si="3"/>
        <v>150</v>
      </c>
      <c r="E90" s="3" t="s">
        <v>179</v>
      </c>
      <c r="F90" s="3"/>
    </row>
    <row r="91" spans="1:12">
      <c r="A91" s="26" t="s">
        <v>320</v>
      </c>
      <c r="B91" s="26">
        <v>113</v>
      </c>
      <c r="C91" s="26">
        <f t="shared" si="3"/>
        <v>113</v>
      </c>
      <c r="E91" s="3" t="s">
        <v>188</v>
      </c>
      <c r="F91" s="3"/>
    </row>
    <row r="92" spans="1:12">
      <c r="A92" s="26" t="s">
        <v>321</v>
      </c>
      <c r="B92" s="26" t="s">
        <v>322</v>
      </c>
      <c r="C92" s="26">
        <f t="shared" si="3"/>
        <v>4990</v>
      </c>
      <c r="E92" s="3" t="s">
        <v>179</v>
      </c>
      <c r="F92" s="3"/>
    </row>
    <row r="93" spans="1:12">
      <c r="A93" s="26" t="s">
        <v>323</v>
      </c>
      <c r="B93" s="26">
        <v>10</v>
      </c>
      <c r="C93" s="26">
        <f t="shared" si="3"/>
        <v>10</v>
      </c>
      <c r="E93" s="3" t="s">
        <v>179</v>
      </c>
      <c r="F93" s="3"/>
    </row>
    <row r="94" spans="1:12">
      <c r="A94" s="26" t="s">
        <v>324</v>
      </c>
      <c r="B94" s="26">
        <v>402</v>
      </c>
      <c r="C94" s="26">
        <f t="shared" si="3"/>
        <v>402</v>
      </c>
      <c r="E94" s="3" t="s">
        <v>197</v>
      </c>
      <c r="F94" s="3"/>
    </row>
    <row r="95" spans="1:12">
      <c r="A95" s="26" t="s">
        <v>325</v>
      </c>
      <c r="B95" s="26" t="s">
        <v>326</v>
      </c>
      <c r="C95" s="26">
        <f t="shared" si="3"/>
        <v>1500</v>
      </c>
      <c r="E95" s="3" t="s">
        <v>197</v>
      </c>
      <c r="F95" s="3"/>
    </row>
    <row r="96" spans="1:12">
      <c r="A96" s="26" t="s">
        <v>327</v>
      </c>
      <c r="B96" s="26">
        <v>267</v>
      </c>
      <c r="C96" s="26">
        <f t="shared" si="3"/>
        <v>267</v>
      </c>
      <c r="E96" s="3" t="s">
        <v>188</v>
      </c>
      <c r="F96" s="3"/>
    </row>
    <row r="97" spans="1:6">
      <c r="A97" s="26" t="s">
        <v>328</v>
      </c>
      <c r="B97" s="26">
        <v>51</v>
      </c>
      <c r="C97" s="26">
        <f t="shared" si="3"/>
        <v>51</v>
      </c>
      <c r="E97" s="3" t="s">
        <v>179</v>
      </c>
      <c r="F97" s="3"/>
    </row>
    <row r="98" spans="1:6">
      <c r="A98" s="26" t="s">
        <v>329</v>
      </c>
      <c r="B98" s="26" t="s">
        <v>330</v>
      </c>
      <c r="C98" s="26">
        <f t="shared" si="3"/>
        <v>10000</v>
      </c>
      <c r="E98" s="3" t="s">
        <v>197</v>
      </c>
      <c r="F98" s="3"/>
    </row>
    <row r="99" spans="1:6">
      <c r="A99" s="26" t="s">
        <v>331</v>
      </c>
      <c r="B99" s="26">
        <v>15</v>
      </c>
      <c r="C99" s="26">
        <f t="shared" si="3"/>
        <v>15</v>
      </c>
      <c r="E99" s="3" t="s">
        <v>197</v>
      </c>
      <c r="F99" s="3"/>
    </row>
    <row r="100" spans="1:6">
      <c r="A100" s="26" t="s">
        <v>332</v>
      </c>
      <c r="B100" s="26">
        <v>56</v>
      </c>
      <c r="C100" s="26">
        <f t="shared" si="3"/>
        <v>56</v>
      </c>
    </row>
    <row r="101" spans="1:6">
      <c r="A101" s="26" t="s">
        <v>333</v>
      </c>
      <c r="B101" s="26">
        <v>220</v>
      </c>
      <c r="C101" s="26">
        <f t="shared" si="3"/>
        <v>220</v>
      </c>
      <c r="E101" s="3" t="s">
        <v>188</v>
      </c>
      <c r="F101" s="3"/>
    </row>
    <row r="102" spans="1:6">
      <c r="A102" s="26" t="s">
        <v>334</v>
      </c>
      <c r="B102" s="26" t="s">
        <v>335</v>
      </c>
      <c r="C102" s="26">
        <f t="shared" si="3"/>
        <v>1300</v>
      </c>
      <c r="E102" s="3" t="s">
        <v>188</v>
      </c>
      <c r="F102" s="3"/>
    </row>
    <row r="103" spans="1:6">
      <c r="A103" s="26" t="s">
        <v>336</v>
      </c>
      <c r="B103" s="26">
        <v>100</v>
      </c>
      <c r="C103" s="26">
        <f t="shared" si="3"/>
        <v>100</v>
      </c>
      <c r="E103" s="3" t="s">
        <v>179</v>
      </c>
      <c r="F103" s="3"/>
    </row>
    <row r="104" spans="1:6">
      <c r="A104" s="26" t="s">
        <v>372</v>
      </c>
      <c r="B104" s="26" t="s">
        <v>264</v>
      </c>
      <c r="C104" s="26">
        <f t="shared" si="3"/>
        <v>20000</v>
      </c>
      <c r="E104" s="3" t="s">
        <v>197</v>
      </c>
      <c r="F104" s="3"/>
    </row>
    <row r="105" spans="1:6">
      <c r="A105" s="26" t="s">
        <v>373</v>
      </c>
      <c r="B105" s="26" t="s">
        <v>374</v>
      </c>
      <c r="C105" s="26">
        <f t="shared" si="3"/>
        <v>8450</v>
      </c>
      <c r="E105" s="3" t="s">
        <v>197</v>
      </c>
      <c r="F105" s="3"/>
    </row>
    <row r="106" spans="1:6">
      <c r="A106" s="26" t="s">
        <v>375</v>
      </c>
      <c r="B106" s="26" t="s">
        <v>374</v>
      </c>
      <c r="C106" s="26">
        <f t="shared" si="3"/>
        <v>8450</v>
      </c>
      <c r="E106" s="3" t="s">
        <v>179</v>
      </c>
      <c r="F106" s="3"/>
    </row>
    <row r="107" spans="1:6">
      <c r="A107" s="26" t="s">
        <v>376</v>
      </c>
      <c r="B107" s="26">
        <v>56.2</v>
      </c>
      <c r="C107" s="26">
        <f t="shared" si="3"/>
        <v>56.2</v>
      </c>
      <c r="E107" s="3" t="s">
        <v>197</v>
      </c>
      <c r="F107" s="3"/>
    </row>
    <row r="108" spans="1:6">
      <c r="A108" s="26" t="s">
        <v>393</v>
      </c>
      <c r="B108" s="26" t="s">
        <v>394</v>
      </c>
      <c r="C108" s="26">
        <f t="shared" si="3"/>
        <v>95300</v>
      </c>
      <c r="E108" s="3" t="s">
        <v>179</v>
      </c>
      <c r="F108" s="3"/>
    </row>
    <row r="109" spans="1:6">
      <c r="A109" s="26" t="s">
        <v>402</v>
      </c>
      <c r="C109" s="26">
        <f t="shared" si="3"/>
        <v>0</v>
      </c>
    </row>
    <row r="110" spans="1:6">
      <c r="A110" s="26" t="s">
        <v>403</v>
      </c>
      <c r="B110" s="26">
        <v>100</v>
      </c>
      <c r="C110" s="26">
        <f t="shared" si="3"/>
        <v>100</v>
      </c>
      <c r="E110" s="3" t="s">
        <v>178</v>
      </c>
      <c r="F110" s="3"/>
    </row>
    <row r="111" spans="1:6">
      <c r="A111" s="26" t="s">
        <v>404</v>
      </c>
      <c r="B111" s="26">
        <v>88</v>
      </c>
      <c r="C111" s="26">
        <f t="shared" si="3"/>
        <v>88</v>
      </c>
      <c r="E111" s="3" t="s">
        <v>178</v>
      </c>
      <c r="F111" s="3"/>
    </row>
    <row r="112" spans="1:6">
      <c r="A112" s="26" t="s">
        <v>405</v>
      </c>
      <c r="B112" s="26">
        <v>50</v>
      </c>
      <c r="C112" s="26">
        <f t="shared" si="3"/>
        <v>50</v>
      </c>
      <c r="E112" s="3" t="s">
        <v>179</v>
      </c>
      <c r="F112" s="3"/>
    </row>
    <row r="113" spans="1:6">
      <c r="A113" s="26" t="s">
        <v>408</v>
      </c>
      <c r="B113" s="26">
        <v>500</v>
      </c>
      <c r="C113" s="26">
        <f t="shared" si="3"/>
        <v>500</v>
      </c>
      <c r="E113" s="3" t="s">
        <v>178</v>
      </c>
      <c r="F113" s="3"/>
    </row>
    <row r="114" spans="1:6">
      <c r="A114" s="26" t="s">
        <v>409</v>
      </c>
      <c r="B114" s="26">
        <v>200</v>
      </c>
      <c r="C114" s="26">
        <f t="shared" si="3"/>
        <v>200</v>
      </c>
      <c r="E114" s="3" t="s">
        <v>178</v>
      </c>
      <c r="F114" s="3"/>
    </row>
    <row r="115" spans="1:6">
      <c r="A115" s="26" t="s">
        <v>413</v>
      </c>
      <c r="B115" s="26">
        <v>150</v>
      </c>
      <c r="C115" s="26">
        <f t="shared" si="3"/>
        <v>150</v>
      </c>
      <c r="E115" s="3" t="s">
        <v>178</v>
      </c>
      <c r="F115" s="3"/>
    </row>
    <row r="116" spans="1:6">
      <c r="A116" s="30" t="s">
        <v>416</v>
      </c>
      <c r="B116" s="30">
        <v>0</v>
      </c>
      <c r="C116" s="30">
        <f t="shared" si="3"/>
        <v>0</v>
      </c>
      <c r="D116" s="30"/>
      <c r="E116" s="29" t="s">
        <v>179</v>
      </c>
      <c r="F116" s="29"/>
    </row>
    <row r="117" spans="1:6">
      <c r="A117" s="30" t="s">
        <v>417</v>
      </c>
      <c r="B117" s="30">
        <v>91</v>
      </c>
      <c r="C117" s="30">
        <f t="shared" si="3"/>
        <v>91</v>
      </c>
      <c r="D117" s="30"/>
      <c r="E117" s="29" t="s">
        <v>179</v>
      </c>
      <c r="F117" s="29"/>
    </row>
    <row r="118" spans="1:6">
      <c r="A118" s="30" t="s">
        <v>418</v>
      </c>
      <c r="B118" s="30">
        <v>165</v>
      </c>
      <c r="C118" s="30">
        <f t="shared" si="3"/>
        <v>165</v>
      </c>
      <c r="D118" s="30"/>
      <c r="E118" s="30">
        <v>1206</v>
      </c>
      <c r="F118" s="30"/>
    </row>
    <row r="119" spans="1:6">
      <c r="A119" s="30" t="s">
        <v>419</v>
      </c>
      <c r="B119" s="30">
        <v>0</v>
      </c>
      <c r="C119" s="30">
        <f t="shared" si="3"/>
        <v>0</v>
      </c>
      <c r="D119" s="30"/>
      <c r="E119" s="30"/>
      <c r="F119" s="30"/>
    </row>
    <row r="120" spans="1:6">
      <c r="A120" s="30" t="s">
        <v>420</v>
      </c>
      <c r="B120" s="30" t="s">
        <v>421</v>
      </c>
      <c r="C120" s="30">
        <f t="shared" si="3"/>
        <v>1620</v>
      </c>
      <c r="D120" s="30"/>
      <c r="E120" s="29" t="s">
        <v>179</v>
      </c>
      <c r="F120" s="29"/>
    </row>
    <row r="121" spans="1:6">
      <c r="A121" s="30" t="s">
        <v>422</v>
      </c>
      <c r="B121" s="30" t="s">
        <v>423</v>
      </c>
      <c r="C121" s="30" t="e">
        <f t="shared" si="3"/>
        <v>#VALUE!</v>
      </c>
      <c r="D121" s="30"/>
      <c r="E121" s="29" t="s">
        <v>179</v>
      </c>
      <c r="F121" s="29"/>
    </row>
    <row r="122" spans="1:6">
      <c r="A122" s="30" t="s">
        <v>424</v>
      </c>
      <c r="B122" s="30">
        <v>287</v>
      </c>
      <c r="C122" s="30">
        <f t="shared" si="3"/>
        <v>287</v>
      </c>
      <c r="D122" s="30"/>
      <c r="E122" s="29" t="s">
        <v>178</v>
      </c>
      <c r="F122" s="29"/>
    </row>
    <row r="123" spans="1:6">
      <c r="A123" s="30" t="s">
        <v>425</v>
      </c>
      <c r="B123" s="30">
        <v>43.2</v>
      </c>
      <c r="C123" s="30">
        <f t="shared" si="3"/>
        <v>43.2</v>
      </c>
      <c r="D123" s="30"/>
      <c r="E123" s="29" t="s">
        <v>197</v>
      </c>
      <c r="F123" s="29"/>
    </row>
    <row r="124" spans="1:6">
      <c r="A124" s="30" t="s">
        <v>426</v>
      </c>
      <c r="B124" s="30">
        <v>3.9</v>
      </c>
      <c r="C124" s="30">
        <f t="shared" si="3"/>
        <v>3.9</v>
      </c>
      <c r="D124" s="30"/>
      <c r="E124" s="29" t="s">
        <v>197</v>
      </c>
      <c r="F124" s="29"/>
    </row>
    <row r="125" spans="1:6">
      <c r="A125" s="30" t="s">
        <v>427</v>
      </c>
      <c r="B125" s="30" t="s">
        <v>428</v>
      </c>
      <c r="C125" s="30">
        <f t="shared" si="3"/>
        <v>41200</v>
      </c>
      <c r="D125" s="30"/>
      <c r="E125" s="29" t="s">
        <v>179</v>
      </c>
      <c r="F125" s="29"/>
    </row>
    <row r="126" spans="1:6">
      <c r="A126" s="30" t="s">
        <v>429</v>
      </c>
      <c r="B126" s="30">
        <v>243</v>
      </c>
      <c r="C126" s="30">
        <f t="shared" si="3"/>
        <v>243</v>
      </c>
      <c r="D126" s="30"/>
      <c r="E126" s="30">
        <v>1206</v>
      </c>
      <c r="F126" s="30"/>
    </row>
    <row r="127" spans="1:6">
      <c r="A127" s="30" t="s">
        <v>430</v>
      </c>
      <c r="B127" s="30">
        <v>47</v>
      </c>
      <c r="C127" s="30">
        <f t="shared" si="3"/>
        <v>47</v>
      </c>
      <c r="D127" s="30"/>
      <c r="E127" s="30">
        <v>1206</v>
      </c>
      <c r="F127" s="30"/>
    </row>
    <row r="128" spans="1:6">
      <c r="A128" s="30" t="s">
        <v>431</v>
      </c>
      <c r="B128" s="30" t="s">
        <v>432</v>
      </c>
      <c r="C128" s="30">
        <f t="shared" si="3"/>
        <v>62000</v>
      </c>
      <c r="D128" s="30"/>
      <c r="E128" s="29" t="s">
        <v>179</v>
      </c>
      <c r="F128" s="29"/>
    </row>
    <row r="129" spans="1:6">
      <c r="A129" s="30" t="s">
        <v>433</v>
      </c>
      <c r="B129" s="30">
        <v>470</v>
      </c>
      <c r="C129" s="30">
        <f t="shared" si="3"/>
        <v>470</v>
      </c>
      <c r="D129" s="30"/>
      <c r="E129" s="30">
        <v>1206</v>
      </c>
      <c r="F129" s="30"/>
    </row>
    <row r="130" spans="1:6">
      <c r="A130" s="30" t="s">
        <v>434</v>
      </c>
      <c r="B130" s="30" t="s">
        <v>435</v>
      </c>
      <c r="C130" s="30">
        <f t="shared" si="3"/>
        <v>2870</v>
      </c>
      <c r="D130" s="30"/>
      <c r="E130" s="29" t="s">
        <v>178</v>
      </c>
      <c r="F130" s="29"/>
    </row>
    <row r="131" spans="1:6">
      <c r="A131" s="30" t="s">
        <v>436</v>
      </c>
      <c r="B131" s="30" t="s">
        <v>437</v>
      </c>
      <c r="C131" s="30">
        <f>IF(RIGHT(B131,1)="K",VALUE(LEFT(B131,LEN(B131)-1))*1000,VALUE(B131))</f>
        <v>4990</v>
      </c>
      <c r="D131" s="30"/>
      <c r="E131" s="29" t="s">
        <v>178</v>
      </c>
      <c r="F131" s="29"/>
    </row>
    <row r="132" spans="1:6">
      <c r="A132" s="30" t="s">
        <v>438</v>
      </c>
      <c r="B132" s="30" t="s">
        <v>217</v>
      </c>
      <c r="C132" s="30">
        <f>IF(RIGHT(B132,1)="K",VALUE(LEFT(B132,LEN(B132)-1))*1000,VALUE(B132))</f>
        <v>1000</v>
      </c>
      <c r="D132" s="30"/>
      <c r="E132" s="30">
        <v>1206</v>
      </c>
      <c r="F132" s="30"/>
    </row>
    <row r="133" spans="1:6">
      <c r="A133" s="30" t="s">
        <v>439</v>
      </c>
      <c r="B133" s="30">
        <v>10</v>
      </c>
      <c r="C133" s="30">
        <f t="shared" ref="C133:C202" si="4">IF(RIGHT(B133,1)="K",VALUE(LEFT(B133,LEN(B133)-1))*1000,VALUE(B133))</f>
        <v>10</v>
      </c>
      <c r="D133" s="30"/>
      <c r="E133" s="29" t="s">
        <v>179</v>
      </c>
      <c r="F133" s="29"/>
    </row>
    <row r="134" spans="1:6">
      <c r="A134" s="30" t="s">
        <v>440</v>
      </c>
      <c r="B134" s="30">
        <v>60.4</v>
      </c>
      <c r="C134" s="30">
        <f t="shared" si="4"/>
        <v>60.4</v>
      </c>
      <c r="D134" s="30"/>
      <c r="E134" s="30">
        <v>1206</v>
      </c>
      <c r="F134" s="30"/>
    </row>
    <row r="135" spans="1:6">
      <c r="A135" s="30" t="s">
        <v>441</v>
      </c>
      <c r="B135" s="30" t="s">
        <v>442</v>
      </c>
      <c r="C135" s="30">
        <f t="shared" si="4"/>
        <v>2000</v>
      </c>
      <c r="D135" s="30"/>
      <c r="E135" s="29" t="s">
        <v>179</v>
      </c>
      <c r="F135" s="29"/>
    </row>
    <row r="136" spans="1:6">
      <c r="A136" s="30" t="s">
        <v>443</v>
      </c>
      <c r="B136" s="30" t="s">
        <v>217</v>
      </c>
      <c r="C136" s="30">
        <f t="shared" si="4"/>
        <v>1000</v>
      </c>
      <c r="D136" s="30"/>
      <c r="E136" s="29" t="s">
        <v>178</v>
      </c>
      <c r="F136" s="29"/>
    </row>
    <row r="137" spans="1:6">
      <c r="A137" s="30" t="s">
        <v>444</v>
      </c>
      <c r="B137" s="30">
        <v>100</v>
      </c>
      <c r="C137" s="30">
        <f t="shared" si="4"/>
        <v>100</v>
      </c>
      <c r="D137" s="30"/>
      <c r="E137" s="30">
        <v>1206</v>
      </c>
      <c r="F137" s="30"/>
    </row>
    <row r="138" spans="1:6">
      <c r="A138" s="30" t="s">
        <v>445</v>
      </c>
      <c r="B138" s="30" t="s">
        <v>205</v>
      </c>
      <c r="C138" s="30">
        <f t="shared" si="4"/>
        <v>200000</v>
      </c>
      <c r="D138" s="30"/>
      <c r="E138" s="29" t="s">
        <v>179</v>
      </c>
      <c r="F138" s="29"/>
    </row>
    <row r="139" spans="1:6" s="42" customFormat="1">
      <c r="A139" s="30" t="s">
        <v>802</v>
      </c>
      <c r="B139" s="30" t="s">
        <v>803</v>
      </c>
      <c r="C139" s="30">
        <f>IF(RIGHT(B139,1)="K",VALUE(LEFT(B139,LEN(B139)-1))*1000,VALUE(B139))</f>
        <v>1000</v>
      </c>
      <c r="D139" s="30"/>
      <c r="E139" s="29" t="s">
        <v>197</v>
      </c>
      <c r="F139" s="29">
        <v>5000</v>
      </c>
    </row>
    <row r="140" spans="1:6" s="42" customFormat="1">
      <c r="A140" s="30" t="s">
        <v>804</v>
      </c>
      <c r="B140" s="30">
        <v>680</v>
      </c>
      <c r="C140" s="30">
        <f t="shared" si="4"/>
        <v>680</v>
      </c>
      <c r="D140" s="30"/>
      <c r="E140" s="29" t="s">
        <v>197</v>
      </c>
      <c r="F140" s="29">
        <v>5000</v>
      </c>
    </row>
    <row r="141" spans="1:6" s="42" customFormat="1">
      <c r="A141" s="30" t="s">
        <v>805</v>
      </c>
      <c r="B141" s="30">
        <v>100</v>
      </c>
      <c r="C141" s="30">
        <f>IF(RIGHT(B141,1)="K",VALUE(LEFT(B141,LEN(B141)-1))*1000,VALUE(B141))</f>
        <v>100</v>
      </c>
      <c r="D141" s="30"/>
      <c r="E141" s="29" t="s">
        <v>197</v>
      </c>
      <c r="F141" s="29">
        <v>5000</v>
      </c>
    </row>
    <row r="142" spans="1:6" s="42" customFormat="1">
      <c r="A142" s="30" t="s">
        <v>806</v>
      </c>
      <c r="B142" s="30">
        <v>51</v>
      </c>
      <c r="C142" s="30">
        <f>IF(RIGHT(B142,1)="K",VALUE(LEFT(B142,E146LEN(B142)-1))*1000,VALUE(B142))</f>
        <v>51</v>
      </c>
      <c r="D142" s="30"/>
      <c r="E142" s="29" t="s">
        <v>197</v>
      </c>
      <c r="F142" s="29">
        <v>1000</v>
      </c>
    </row>
    <row r="143" spans="1:6" s="42" customFormat="1">
      <c r="A143" s="30" t="s">
        <v>807</v>
      </c>
      <c r="B143" s="30">
        <v>51</v>
      </c>
      <c r="C143" s="30">
        <f>IF(RIGHT(B143,1)="K",VALUE(LEFT(B143,E146LEN(B143)-1))*1000,VALUE(B143))</f>
        <v>51</v>
      </c>
      <c r="D143" s="30"/>
      <c r="E143" s="29" t="s">
        <v>197</v>
      </c>
      <c r="F143" s="29">
        <v>2000</v>
      </c>
    </row>
    <row r="144" spans="1:6" s="42" customFormat="1">
      <c r="A144" s="30" t="s">
        <v>808</v>
      </c>
      <c r="B144" s="30">
        <v>49</v>
      </c>
      <c r="C144" s="30">
        <f>IF(RIGHT(B144,1)="K",VALUE(LEFT(B144,LEN(B144)-1))*1000,VALUE(B144))</f>
        <v>49</v>
      </c>
      <c r="D144" s="30"/>
      <c r="E144" s="29" t="s">
        <v>197</v>
      </c>
      <c r="F144" s="29">
        <v>2000</v>
      </c>
    </row>
    <row r="145" spans="1:6" s="42" customFormat="1">
      <c r="A145" s="30" t="s">
        <v>809</v>
      </c>
      <c r="B145" s="30">
        <v>0</v>
      </c>
      <c r="C145" s="30">
        <f>IF(RIGHT(B145,1)="K",VALUE(LEFT(B145,LEN(B145)-1))*1000,VALUE(B145))</f>
        <v>0</v>
      </c>
      <c r="D145" s="30"/>
      <c r="E145" s="29" t="s">
        <v>197</v>
      </c>
      <c r="F145" s="29">
        <v>5000</v>
      </c>
    </row>
    <row r="146" spans="1:6" s="42" customFormat="1">
      <c r="A146" s="30" t="s">
        <v>810</v>
      </c>
      <c r="B146" s="30" t="s">
        <v>803</v>
      </c>
      <c r="C146" s="30">
        <f>IF(RIGHT(B146,1)="K",VALUE(LEFT(B146,LEN(B146)-1))*1000,VALUE(B146))</f>
        <v>1000</v>
      </c>
      <c r="D146" s="30"/>
      <c r="E146" s="29" t="s">
        <v>197</v>
      </c>
      <c r="F146" s="29">
        <v>4000</v>
      </c>
    </row>
    <row r="147" spans="1:6" s="42" customFormat="1">
      <c r="A147" s="30" t="s">
        <v>813</v>
      </c>
      <c r="B147" s="30" t="s">
        <v>812</v>
      </c>
      <c r="C147" s="30">
        <f>IF(RIGHT(B147,1)="K",VALUE(LEFT(B147,LEN(B147)-1))*1000,VALUE(B147))</f>
        <v>10000</v>
      </c>
      <c r="D147" s="30"/>
      <c r="E147" s="29" t="s">
        <v>197</v>
      </c>
      <c r="F147" s="29">
        <v>3000</v>
      </c>
    </row>
    <row r="148" spans="1:6" s="42" customFormat="1">
      <c r="A148" s="30" t="s">
        <v>815</v>
      </c>
      <c r="B148" s="30">
        <v>4.7</v>
      </c>
      <c r="C148" s="30">
        <f>IF(RIGHT(B148,1)="K",VALUE(LEFT(B148,E146LEN(B148)-1))*1000,VALUE(B148))</f>
        <v>4.7</v>
      </c>
      <c r="D148" s="30"/>
      <c r="E148" s="29" t="s">
        <v>197</v>
      </c>
      <c r="F148" s="29">
        <v>5000</v>
      </c>
    </row>
    <row r="149" spans="1:6" s="42" customFormat="1">
      <c r="A149" s="30" t="s">
        <v>814</v>
      </c>
      <c r="B149" s="30">
        <v>49.9</v>
      </c>
      <c r="C149" s="30">
        <f>IF(RIGHT(B149,1)="K",VALUE(LEFT(B149,E146LEN(B149)-1))*1000,VALUE(B149))</f>
        <v>49.9</v>
      </c>
      <c r="D149" s="30"/>
      <c r="E149" s="29" t="s">
        <v>197</v>
      </c>
      <c r="F149" s="29">
        <v>3000</v>
      </c>
    </row>
    <row r="150" spans="1:6" s="42" customFormat="1">
      <c r="A150" s="30" t="s">
        <v>816</v>
      </c>
      <c r="B150" s="30" t="s">
        <v>817</v>
      </c>
      <c r="C150" s="30">
        <f>IF(RIGHT(B150,1)="K",VALUE(LEFT(B150,LEN(B150)-1))*1000,VALUE(B150))</f>
        <v>2700</v>
      </c>
      <c r="D150" s="30"/>
      <c r="E150" s="29" t="s">
        <v>179</v>
      </c>
      <c r="F150" s="29">
        <v>5000</v>
      </c>
    </row>
    <row r="151" spans="1:6">
      <c r="A151" s="30" t="s">
        <v>539</v>
      </c>
      <c r="B151" s="26" t="s">
        <v>540</v>
      </c>
      <c r="C151" s="30">
        <f t="shared" si="4"/>
        <v>2200</v>
      </c>
      <c r="E151" s="3" t="s">
        <v>197</v>
      </c>
      <c r="F151" s="3"/>
    </row>
    <row r="152" spans="1:6">
      <c r="A152" s="48" t="s">
        <v>757</v>
      </c>
      <c r="B152" s="49">
        <v>50</v>
      </c>
      <c r="C152" s="50">
        <f t="shared" si="4"/>
        <v>50</v>
      </c>
      <c r="D152" s="50"/>
      <c r="E152" s="48" t="s">
        <v>749</v>
      </c>
      <c r="F152" s="49">
        <v>1000</v>
      </c>
    </row>
    <row r="153" spans="1:6">
      <c r="A153" s="48" t="s">
        <v>758</v>
      </c>
      <c r="B153" s="49">
        <v>50</v>
      </c>
      <c r="C153" s="50">
        <f t="shared" si="4"/>
        <v>50</v>
      </c>
      <c r="D153" s="50"/>
      <c r="E153" s="48" t="s">
        <v>749</v>
      </c>
      <c r="F153" s="49">
        <v>1000</v>
      </c>
    </row>
    <row r="154" spans="1:6">
      <c r="A154" s="48" t="s">
        <v>759</v>
      </c>
      <c r="B154" s="49" t="s">
        <v>760</v>
      </c>
      <c r="C154" s="50">
        <f t="shared" si="4"/>
        <v>1000</v>
      </c>
      <c r="D154" s="50"/>
      <c r="E154" s="48" t="s">
        <v>749</v>
      </c>
      <c r="F154" s="49">
        <v>3000</v>
      </c>
    </row>
    <row r="155" spans="1:6">
      <c r="A155" s="48" t="s">
        <v>761</v>
      </c>
      <c r="B155" s="49" t="s">
        <v>760</v>
      </c>
      <c r="C155" s="50">
        <f t="shared" si="4"/>
        <v>1000</v>
      </c>
      <c r="D155" s="50"/>
      <c r="E155" s="48" t="s">
        <v>749</v>
      </c>
      <c r="F155" s="49">
        <v>500</v>
      </c>
    </row>
    <row r="156" spans="1:6">
      <c r="A156" s="48" t="s">
        <v>762</v>
      </c>
      <c r="B156" s="49" t="s">
        <v>760</v>
      </c>
      <c r="C156" s="50">
        <f t="shared" si="4"/>
        <v>1000</v>
      </c>
      <c r="D156" s="50"/>
      <c r="E156" s="48" t="s">
        <v>749</v>
      </c>
      <c r="F156" s="49">
        <v>1000</v>
      </c>
    </row>
    <row r="157" spans="1:6">
      <c r="A157" s="50" t="s">
        <v>764</v>
      </c>
      <c r="B157" s="50">
        <v>0</v>
      </c>
      <c r="C157" s="50">
        <f t="shared" si="4"/>
        <v>0</v>
      </c>
      <c r="D157" s="50"/>
      <c r="E157" s="51" t="s">
        <v>178</v>
      </c>
      <c r="F157" s="50">
        <v>200</v>
      </c>
    </row>
    <row r="158" spans="1:6">
      <c r="A158" s="50" t="s">
        <v>771</v>
      </c>
      <c r="B158" s="50" t="s">
        <v>772</v>
      </c>
      <c r="C158" s="50">
        <f t="shared" si="4"/>
        <v>3320</v>
      </c>
      <c r="D158" s="50"/>
      <c r="E158" s="51" t="s">
        <v>179</v>
      </c>
      <c r="F158" s="50">
        <v>300</v>
      </c>
    </row>
    <row r="159" spans="1:6">
      <c r="A159" s="50" t="s">
        <v>773</v>
      </c>
      <c r="B159" s="50" t="s">
        <v>330</v>
      </c>
      <c r="C159" s="50">
        <f t="shared" si="4"/>
        <v>10000</v>
      </c>
      <c r="D159" s="50"/>
      <c r="E159" s="51" t="s">
        <v>179</v>
      </c>
      <c r="F159" s="50">
        <v>100</v>
      </c>
    </row>
    <row r="160" spans="1:6">
      <c r="A160" s="26" t="s">
        <v>818</v>
      </c>
      <c r="B160" s="26" t="s">
        <v>322</v>
      </c>
      <c r="C160" s="26">
        <f t="shared" si="4"/>
        <v>4990</v>
      </c>
      <c r="E160" s="3" t="s">
        <v>179</v>
      </c>
      <c r="F160" s="26">
        <v>3000</v>
      </c>
    </row>
    <row r="161" spans="1:6">
      <c r="A161" s="26" t="s">
        <v>276</v>
      </c>
      <c r="B161" s="26" t="s">
        <v>277</v>
      </c>
      <c r="C161" s="26">
        <f t="shared" si="4"/>
        <v>2000</v>
      </c>
      <c r="E161" s="3" t="s">
        <v>179</v>
      </c>
      <c r="F161" s="26">
        <v>4000</v>
      </c>
    </row>
    <row r="162" spans="1:6">
      <c r="A162" s="26" t="s">
        <v>819</v>
      </c>
      <c r="B162" s="26" t="s">
        <v>820</v>
      </c>
      <c r="C162" s="26">
        <f t="shared" si="4"/>
        <v>1540</v>
      </c>
      <c r="E162" s="3" t="s">
        <v>179</v>
      </c>
      <c r="F162" s="26">
        <v>5000</v>
      </c>
    </row>
    <row r="163" spans="1:6">
      <c r="A163" s="26" t="s">
        <v>821</v>
      </c>
      <c r="B163" s="26" t="s">
        <v>822</v>
      </c>
      <c r="C163" s="26">
        <f t="shared" si="4"/>
        <v>3300</v>
      </c>
      <c r="E163" s="3" t="s">
        <v>197</v>
      </c>
      <c r="F163" s="26">
        <v>5000</v>
      </c>
    </row>
    <row r="164" spans="1:6">
      <c r="A164" s="26" t="s">
        <v>811</v>
      </c>
      <c r="B164" s="26" t="s">
        <v>277</v>
      </c>
      <c r="C164" s="26">
        <f t="shared" si="4"/>
        <v>2000</v>
      </c>
      <c r="E164" s="3" t="s">
        <v>197</v>
      </c>
      <c r="F164" s="26">
        <v>5000</v>
      </c>
    </row>
    <row r="165" spans="1:6">
      <c r="A165" s="26" t="s">
        <v>823</v>
      </c>
      <c r="B165" s="26">
        <v>453</v>
      </c>
      <c r="C165" s="43">
        <f t="shared" si="4"/>
        <v>453</v>
      </c>
      <c r="E165" s="3" t="s">
        <v>179</v>
      </c>
      <c r="F165" s="26">
        <v>5000</v>
      </c>
    </row>
    <row r="166" spans="1:6">
      <c r="A166" s="26" t="s">
        <v>824</v>
      </c>
      <c r="B166" s="26" t="s">
        <v>825</v>
      </c>
      <c r="C166" s="43">
        <f t="shared" si="4"/>
        <v>300000</v>
      </c>
      <c r="E166" s="3" t="s">
        <v>197</v>
      </c>
      <c r="F166" s="26">
        <v>5000</v>
      </c>
    </row>
    <row r="167" spans="1:6">
      <c r="A167" s="26" t="s">
        <v>826</v>
      </c>
      <c r="B167" s="26" t="s">
        <v>264</v>
      </c>
      <c r="C167" s="43">
        <f t="shared" si="4"/>
        <v>20000</v>
      </c>
      <c r="E167" s="3" t="s">
        <v>197</v>
      </c>
      <c r="F167" s="26">
        <v>5000</v>
      </c>
    </row>
    <row r="168" spans="1:6">
      <c r="A168" s="26" t="s">
        <v>827</v>
      </c>
      <c r="B168" s="26" t="s">
        <v>330</v>
      </c>
      <c r="C168" s="43">
        <f t="shared" si="4"/>
        <v>10000</v>
      </c>
      <c r="E168" s="3" t="s">
        <v>197</v>
      </c>
      <c r="F168" s="26">
        <v>1000</v>
      </c>
    </row>
    <row r="169" spans="1:6">
      <c r="A169" s="26" t="s">
        <v>828</v>
      </c>
      <c r="B169" s="26" t="s">
        <v>330</v>
      </c>
      <c r="C169" s="26">
        <f t="shared" si="4"/>
        <v>10000</v>
      </c>
      <c r="E169" s="3" t="s">
        <v>197</v>
      </c>
      <c r="F169" s="26">
        <v>1000</v>
      </c>
    </row>
    <row r="170" spans="1:6">
      <c r="A170" s="26" t="s">
        <v>829</v>
      </c>
      <c r="B170" s="26" t="s">
        <v>330</v>
      </c>
      <c r="C170" s="26">
        <f t="shared" si="4"/>
        <v>10000</v>
      </c>
      <c r="E170" s="3" t="s">
        <v>197</v>
      </c>
      <c r="F170" s="26">
        <v>1000</v>
      </c>
    </row>
    <row r="171" spans="1:6">
      <c r="A171" s="26" t="s">
        <v>830</v>
      </c>
      <c r="B171" s="26" t="s">
        <v>831</v>
      </c>
      <c r="C171" s="26">
        <f t="shared" si="4"/>
        <v>470000</v>
      </c>
      <c r="E171" s="3" t="s">
        <v>188</v>
      </c>
      <c r="F171" s="26">
        <v>4000</v>
      </c>
    </row>
    <row r="172" spans="1:6">
      <c r="A172" s="26" t="s">
        <v>832</v>
      </c>
      <c r="B172" s="26">
        <v>113</v>
      </c>
      <c r="C172" s="43">
        <f t="shared" si="4"/>
        <v>113</v>
      </c>
      <c r="E172" s="3" t="s">
        <v>188</v>
      </c>
      <c r="F172" s="26">
        <v>500</v>
      </c>
    </row>
    <row r="173" spans="1:6">
      <c r="A173" s="26" t="s">
        <v>833</v>
      </c>
      <c r="B173" s="26">
        <v>60.4</v>
      </c>
      <c r="C173" s="43">
        <f t="shared" si="4"/>
        <v>60.4</v>
      </c>
      <c r="E173" s="26">
        <v>1206</v>
      </c>
      <c r="F173" s="26">
        <v>5000</v>
      </c>
    </row>
    <row r="174" spans="1:6">
      <c r="A174" s="26" t="s">
        <v>440</v>
      </c>
      <c r="B174" s="26">
        <v>60.4</v>
      </c>
      <c r="C174" s="26">
        <f t="shared" si="4"/>
        <v>60.4</v>
      </c>
      <c r="E174" s="26">
        <v>1206</v>
      </c>
      <c r="F174" s="26">
        <v>200</v>
      </c>
    </row>
    <row r="175" spans="1:6">
      <c r="A175" s="26" t="s">
        <v>834</v>
      </c>
      <c r="B175" s="26">
        <v>60.4</v>
      </c>
      <c r="C175" s="26">
        <f t="shared" si="4"/>
        <v>60.4</v>
      </c>
      <c r="E175" s="26">
        <v>1206</v>
      </c>
      <c r="F175" s="26">
        <v>200</v>
      </c>
    </row>
    <row r="176" spans="1:6">
      <c r="A176" s="26" t="s">
        <v>835</v>
      </c>
      <c r="B176" s="26">
        <v>30</v>
      </c>
      <c r="C176" s="26">
        <f t="shared" si="4"/>
        <v>30</v>
      </c>
      <c r="E176" s="26">
        <v>1206</v>
      </c>
      <c r="F176" s="26">
        <v>5000</v>
      </c>
    </row>
    <row r="177" spans="1:6">
      <c r="A177" s="26" t="s">
        <v>847</v>
      </c>
      <c r="B177" s="26" t="s">
        <v>264</v>
      </c>
      <c r="C177" s="43">
        <f t="shared" si="4"/>
        <v>20000</v>
      </c>
      <c r="E177" s="3" t="s">
        <v>179</v>
      </c>
      <c r="F177" s="26">
        <v>5000</v>
      </c>
    </row>
    <row r="178" spans="1:6">
      <c r="A178" s="26" t="s">
        <v>848</v>
      </c>
      <c r="B178" s="26" t="s">
        <v>330</v>
      </c>
      <c r="C178" s="43">
        <f t="shared" si="4"/>
        <v>10000</v>
      </c>
      <c r="E178" s="3" t="s">
        <v>179</v>
      </c>
      <c r="F178" s="26">
        <v>1000</v>
      </c>
    </row>
    <row r="179" spans="1:6">
      <c r="A179" s="26" t="s">
        <v>849</v>
      </c>
      <c r="B179" s="26" t="s">
        <v>330</v>
      </c>
      <c r="C179" s="26">
        <f t="shared" si="4"/>
        <v>10000</v>
      </c>
      <c r="E179" s="26">
        <v>1610</v>
      </c>
      <c r="F179" s="26">
        <v>1000</v>
      </c>
    </row>
    <row r="180" spans="1:6">
      <c r="A180" s="26" t="s">
        <v>850</v>
      </c>
      <c r="B180" s="26" t="s">
        <v>330</v>
      </c>
      <c r="C180" s="26">
        <f t="shared" si="4"/>
        <v>10000</v>
      </c>
      <c r="E180" s="3" t="s">
        <v>179</v>
      </c>
      <c r="F180" s="26">
        <v>2000</v>
      </c>
    </row>
    <row r="181" spans="1:6">
      <c r="A181" s="26" t="s">
        <v>851</v>
      </c>
      <c r="B181" s="26" t="s">
        <v>330</v>
      </c>
      <c r="C181" s="26">
        <f t="shared" si="4"/>
        <v>10000</v>
      </c>
      <c r="E181" s="3" t="s">
        <v>179</v>
      </c>
      <c r="F181" s="26">
        <v>1000</v>
      </c>
    </row>
    <row r="182" spans="1:6">
      <c r="A182" s="26" t="s">
        <v>852</v>
      </c>
      <c r="B182" s="26" t="s">
        <v>853</v>
      </c>
      <c r="C182" s="26">
        <f t="shared" si="4"/>
        <v>15000</v>
      </c>
      <c r="E182" s="3" t="s">
        <v>179</v>
      </c>
      <c r="F182" s="26">
        <v>3000</v>
      </c>
    </row>
    <row r="183" spans="1:6">
      <c r="A183" s="26" t="s">
        <v>854</v>
      </c>
      <c r="B183" s="26" t="s">
        <v>853</v>
      </c>
      <c r="C183" s="26">
        <f t="shared" si="4"/>
        <v>15000</v>
      </c>
      <c r="E183" s="3" t="s">
        <v>179</v>
      </c>
      <c r="F183" s="26">
        <v>4000</v>
      </c>
    </row>
    <row r="184" spans="1:6">
      <c r="A184" s="26" t="s">
        <v>855</v>
      </c>
      <c r="B184" s="26" t="s">
        <v>264</v>
      </c>
      <c r="C184" s="26">
        <f t="shared" si="4"/>
        <v>20000</v>
      </c>
      <c r="E184" s="3" t="s">
        <v>179</v>
      </c>
      <c r="F184" s="26">
        <v>200</v>
      </c>
    </row>
    <row r="185" spans="1:6">
      <c r="A185" s="26" t="s">
        <v>856</v>
      </c>
      <c r="B185" s="26" t="s">
        <v>264</v>
      </c>
      <c r="C185" s="26">
        <f t="shared" si="4"/>
        <v>20000</v>
      </c>
      <c r="E185" s="3" t="s">
        <v>179</v>
      </c>
      <c r="F185" s="26">
        <v>5000</v>
      </c>
    </row>
    <row r="186" spans="1:6">
      <c r="A186" s="26" t="s">
        <v>857</v>
      </c>
      <c r="B186" s="26" t="s">
        <v>264</v>
      </c>
      <c r="C186" s="26">
        <f t="shared" si="4"/>
        <v>20000</v>
      </c>
      <c r="E186" s="3" t="s">
        <v>179</v>
      </c>
      <c r="F186" s="26">
        <v>3000</v>
      </c>
    </row>
    <row r="187" spans="1:6">
      <c r="A187" s="26" t="s">
        <v>858</v>
      </c>
      <c r="B187" s="26" t="s">
        <v>859</v>
      </c>
      <c r="C187" s="26">
        <f t="shared" si="4"/>
        <v>20500</v>
      </c>
      <c r="E187" s="3" t="s">
        <v>179</v>
      </c>
      <c r="F187" s="26">
        <v>3000</v>
      </c>
    </row>
    <row r="188" spans="1:6">
      <c r="A188" s="26" t="s">
        <v>860</v>
      </c>
      <c r="B188" s="26" t="s">
        <v>861</v>
      </c>
      <c r="C188" s="26">
        <f t="shared" si="4"/>
        <v>22000</v>
      </c>
      <c r="E188" s="3" t="s">
        <v>179</v>
      </c>
      <c r="F188" s="26">
        <v>3000</v>
      </c>
    </row>
    <row r="189" spans="1:6">
      <c r="A189" s="26" t="s">
        <v>862</v>
      </c>
      <c r="B189" s="26" t="s">
        <v>247</v>
      </c>
      <c r="C189" s="26">
        <f t="shared" si="4"/>
        <v>30000</v>
      </c>
      <c r="E189" s="3" t="s">
        <v>179</v>
      </c>
      <c r="F189" s="26">
        <v>5000</v>
      </c>
    </row>
    <row r="190" spans="1:6">
      <c r="A190" s="26" t="s">
        <v>863</v>
      </c>
      <c r="B190" s="26" t="s">
        <v>864</v>
      </c>
      <c r="C190" s="26">
        <f t="shared" si="4"/>
        <v>30900</v>
      </c>
      <c r="E190" s="3" t="s">
        <v>179</v>
      </c>
      <c r="F190" s="26">
        <v>5000</v>
      </c>
    </row>
    <row r="191" spans="1:6">
      <c r="A191" s="26" t="s">
        <v>865</v>
      </c>
      <c r="B191" s="26">
        <v>64.900000000000006</v>
      </c>
      <c r="C191" s="43">
        <f t="shared" si="4"/>
        <v>64.900000000000006</v>
      </c>
      <c r="E191" s="3" t="s">
        <v>179</v>
      </c>
      <c r="F191" s="26">
        <v>3000</v>
      </c>
    </row>
    <row r="192" spans="1:6">
      <c r="A192" s="26" t="s">
        <v>865</v>
      </c>
      <c r="B192" s="26">
        <v>64.900000000000006</v>
      </c>
      <c r="C192" s="43">
        <f t="shared" si="4"/>
        <v>64.900000000000006</v>
      </c>
      <c r="E192" s="3" t="s">
        <v>179</v>
      </c>
      <c r="F192" s="26">
        <v>4000</v>
      </c>
    </row>
    <row r="193" spans="1:6">
      <c r="A193" s="26" t="s">
        <v>866</v>
      </c>
      <c r="B193" s="26">
        <v>33</v>
      </c>
      <c r="C193" s="43">
        <f t="shared" si="4"/>
        <v>33</v>
      </c>
      <c r="E193" s="3" t="s">
        <v>179</v>
      </c>
      <c r="F193" s="26">
        <v>5000</v>
      </c>
    </row>
    <row r="194" spans="1:6">
      <c r="A194" s="26" t="s">
        <v>867</v>
      </c>
      <c r="B194" s="26">
        <v>53.6</v>
      </c>
      <c r="C194" s="43">
        <f t="shared" si="4"/>
        <v>53.6</v>
      </c>
      <c r="E194" s="3" t="s">
        <v>179</v>
      </c>
      <c r="F194" s="26">
        <v>2000</v>
      </c>
    </row>
    <row r="195" spans="1:6">
      <c r="A195" s="26" t="s">
        <v>868</v>
      </c>
      <c r="B195" s="26">
        <v>4.7</v>
      </c>
      <c r="C195" s="26">
        <f t="shared" si="4"/>
        <v>4.7</v>
      </c>
      <c r="E195" s="3" t="s">
        <v>179</v>
      </c>
      <c r="F195" s="26">
        <v>4000</v>
      </c>
    </row>
    <row r="196" spans="1:6">
      <c r="A196" s="26" t="s">
        <v>869</v>
      </c>
      <c r="B196" s="26">
        <v>15</v>
      </c>
      <c r="C196" s="26">
        <f t="shared" si="4"/>
        <v>15</v>
      </c>
      <c r="E196" s="3" t="s">
        <v>179</v>
      </c>
      <c r="F196" s="26">
        <v>4000</v>
      </c>
    </row>
    <row r="197" spans="1:6">
      <c r="A197" s="26" t="s">
        <v>870</v>
      </c>
      <c r="B197" s="26">
        <v>0</v>
      </c>
      <c r="C197" s="26">
        <f t="shared" si="4"/>
        <v>0</v>
      </c>
      <c r="E197" s="3" t="s">
        <v>179</v>
      </c>
      <c r="F197" s="26">
        <v>3000</v>
      </c>
    </row>
    <row r="198" spans="1:6">
      <c r="A198" s="26" t="s">
        <v>871</v>
      </c>
      <c r="B198" s="26">
        <v>113</v>
      </c>
      <c r="C198" s="26">
        <f t="shared" si="4"/>
        <v>113</v>
      </c>
      <c r="E198" s="3" t="s">
        <v>179</v>
      </c>
      <c r="F198" s="26">
        <v>5000</v>
      </c>
    </row>
    <row r="199" spans="1:6">
      <c r="A199" s="26" t="s">
        <v>872</v>
      </c>
      <c r="B199" s="26">
        <v>68</v>
      </c>
      <c r="C199" s="26">
        <f t="shared" si="4"/>
        <v>68</v>
      </c>
      <c r="E199" s="3" t="s">
        <v>179</v>
      </c>
      <c r="F199" s="26">
        <v>5000</v>
      </c>
    </row>
    <row r="200" spans="1:6">
      <c r="A200" s="26" t="s">
        <v>873</v>
      </c>
      <c r="B200" s="26">
        <v>100</v>
      </c>
      <c r="C200" s="26">
        <f t="shared" si="4"/>
        <v>100</v>
      </c>
      <c r="E200" s="3" t="s">
        <v>179</v>
      </c>
      <c r="F200" s="26">
        <v>4000</v>
      </c>
    </row>
    <row r="201" spans="1:6">
      <c r="A201" s="26" t="s">
        <v>874</v>
      </c>
      <c r="B201" s="26">
        <v>120</v>
      </c>
      <c r="C201" s="26">
        <f t="shared" si="4"/>
        <v>120</v>
      </c>
      <c r="E201" s="3" t="s">
        <v>179</v>
      </c>
      <c r="F201" s="26">
        <v>4000</v>
      </c>
    </row>
    <row r="202" spans="1:6">
      <c r="A202" s="26" t="s">
        <v>875</v>
      </c>
      <c r="B202" s="26">
        <v>150</v>
      </c>
      <c r="C202" s="26">
        <f t="shared" si="4"/>
        <v>150</v>
      </c>
      <c r="E202" s="3" t="s">
        <v>179</v>
      </c>
      <c r="F202" s="26">
        <v>3000</v>
      </c>
    </row>
    <row r="203" spans="1:6">
      <c r="E203" s="3"/>
    </row>
    <row r="204" spans="1:6">
      <c r="E204" s="3"/>
    </row>
    <row r="205" spans="1:6">
      <c r="E205" s="3"/>
    </row>
    <row r="206" spans="1:6">
      <c r="E206" s="3"/>
    </row>
  </sheetData>
  <sortState ref="G3:K83">
    <sortCondition ref="I3:I83"/>
  </sortState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4F4F-36F0-49B5-966B-F0F91C8DEF37}">
  <dimension ref="A1:F109"/>
  <sheetViews>
    <sheetView tabSelected="1" topLeftCell="A67" workbookViewId="0">
      <selection activeCell="F110" sqref="D107:F110"/>
    </sheetView>
  </sheetViews>
  <sheetFormatPr defaultRowHeight="13.8"/>
  <cols>
    <col min="1" max="1" width="24.59765625" style="19" customWidth="1"/>
    <col min="2" max="2" width="12.69921875" style="19" customWidth="1"/>
    <col min="3" max="3" width="17.8984375" style="19" customWidth="1"/>
    <col min="4" max="4" width="18.8984375" style="19" customWidth="1"/>
    <col min="5" max="5" width="30.09765625" style="19" customWidth="1"/>
  </cols>
  <sheetData>
    <row r="1" spans="1:6" ht="15.6">
      <c r="A1" s="25" t="s">
        <v>173</v>
      </c>
      <c r="B1" s="25" t="s">
        <v>190</v>
      </c>
      <c r="C1" s="25" t="s">
        <v>223</v>
      </c>
      <c r="D1" s="25" t="s">
        <v>176</v>
      </c>
      <c r="E1" s="25" t="s">
        <v>175</v>
      </c>
      <c r="F1" s="25" t="s">
        <v>600</v>
      </c>
    </row>
    <row r="2" spans="1:6">
      <c r="A2" s="20"/>
      <c r="B2" s="20" t="s">
        <v>369</v>
      </c>
      <c r="C2" s="19">
        <f>IF(ISNUMBER(SEARCH("pF",B2)), VALUE(LEFT(B2,SEARCH("pF",B2)-1)),
 IF(ISNUMBER(SEARCH("nF",B2)), VALUE(LEFT(B2,SEARCH("nF",B2)-1))*1000,
 IF(ISNUMBER(SEARCH("uF",B2)), VALUE(LEFT(B2,SEARCH("uF",B2)-1))*1000000,"")))</f>
        <v>0.1</v>
      </c>
      <c r="D2" s="20" t="s">
        <v>370</v>
      </c>
      <c r="E2" s="23" t="s">
        <v>371</v>
      </c>
    </row>
    <row r="3" spans="1:6">
      <c r="A3" s="21" t="s">
        <v>368</v>
      </c>
      <c r="B3" s="19" t="s">
        <v>594</v>
      </c>
      <c r="C3" s="21">
        <f>IF(ISNUMBER(SEARCH("pF",B3)), VALUE(LEFT(B3,SEARCH("pF",B3)-1)),
 IF(ISNUMBER(SEARCH("nF",B3)), VALUE(LEFT(B3,SEARCH("nF",B3)-1))*1000,
 IF(ISNUMBER(SEARCH("µF",B3)), VALUE(LEFT(B3,SEARCH("µF",B3)-1))*1000000,"")))</f>
        <v>0.1</v>
      </c>
      <c r="D3" s="20"/>
      <c r="E3" s="22" t="s">
        <v>754</v>
      </c>
    </row>
    <row r="4" spans="1:6">
      <c r="A4" s="20"/>
      <c r="B4" s="21" t="s">
        <v>471</v>
      </c>
      <c r="C4" s="21">
        <f t="shared" ref="C4:C10" si="0">IF(ISNUMBER(SEARCH("pF",B4)), VALUE(LEFT(B4,SEARCH("pF",B4)-1)),
 IF(ISNUMBER(SEARCH("nF",B4)), VALUE(LEFT(B4,SEARCH("nF",B4)-1))*1000,
 IF(ISNUMBER(SEARCH("uF",B4)), VALUE(LEFT(B4,SEARCH("uF",B4)-1))*1000000,"")))</f>
        <v>0.2</v>
      </c>
      <c r="D4" s="21">
        <v>250</v>
      </c>
      <c r="E4" s="24" t="s">
        <v>179</v>
      </c>
    </row>
    <row r="5" spans="1:6">
      <c r="A5" s="20" t="s">
        <v>565</v>
      </c>
      <c r="B5" s="22" t="s">
        <v>566</v>
      </c>
      <c r="C5" s="21">
        <f t="shared" si="0"/>
        <v>0.2</v>
      </c>
      <c r="D5" s="22"/>
      <c r="E5" s="22" t="s">
        <v>179</v>
      </c>
    </row>
    <row r="6" spans="1:6">
      <c r="A6" s="20"/>
      <c r="B6" s="21" t="s">
        <v>468</v>
      </c>
      <c r="C6" s="21">
        <f t="shared" si="0"/>
        <v>0.3</v>
      </c>
      <c r="D6" s="21">
        <v>250</v>
      </c>
      <c r="E6" s="24" t="s">
        <v>179</v>
      </c>
    </row>
    <row r="7" spans="1:6">
      <c r="A7" s="20" t="s">
        <v>467</v>
      </c>
      <c r="B7" s="20" t="s">
        <v>567</v>
      </c>
      <c r="C7" s="21">
        <f t="shared" si="0"/>
        <v>0.3</v>
      </c>
      <c r="D7" s="20"/>
      <c r="E7" s="22" t="s">
        <v>179</v>
      </c>
    </row>
    <row r="8" spans="1:6">
      <c r="A8" s="20"/>
      <c r="B8" s="20" t="s">
        <v>341</v>
      </c>
      <c r="C8" s="19">
        <f t="shared" si="0"/>
        <v>0.9</v>
      </c>
      <c r="D8" s="20" t="s">
        <v>339</v>
      </c>
      <c r="E8" s="23" t="s">
        <v>178</v>
      </c>
    </row>
    <row r="9" spans="1:6">
      <c r="A9" s="22"/>
      <c r="B9" s="21" t="s">
        <v>470</v>
      </c>
      <c r="C9" s="21">
        <f t="shared" si="0"/>
        <v>0.9</v>
      </c>
      <c r="D9" s="21">
        <v>250</v>
      </c>
      <c r="E9" s="24" t="s">
        <v>179</v>
      </c>
    </row>
    <row r="10" spans="1:6">
      <c r="A10" s="20" t="s">
        <v>469</v>
      </c>
      <c r="B10" s="20" t="s">
        <v>568</v>
      </c>
      <c r="C10" s="21">
        <f t="shared" si="0"/>
        <v>0.9</v>
      </c>
      <c r="D10" s="20"/>
      <c r="E10" s="22" t="s">
        <v>179</v>
      </c>
    </row>
    <row r="11" spans="1:6">
      <c r="A11" s="21" t="s">
        <v>340</v>
      </c>
      <c r="B11" s="20" t="s">
        <v>568</v>
      </c>
      <c r="C11" s="21">
        <f>IF(ISNUMBER(SEARCH("pF",B11)), VALUE(LEFT(B11,SEARCH("pF",B11)-1)),
 IF(ISNUMBER(SEARCH("nF",B11)), VALUE(LEFT(B11,SEARCH("nF",B11)-1))*1000,
 IF(ISNUMBER(SEARCH("µF",B11)), VALUE(LEFT(B11,SEARCH("µF",B11)-1))*1000000,"")))</f>
        <v>0.9</v>
      </c>
      <c r="D11" s="20"/>
      <c r="E11" s="22">
        <v>402</v>
      </c>
    </row>
    <row r="12" spans="1:6">
      <c r="A12" s="20"/>
      <c r="B12" s="20" t="s">
        <v>191</v>
      </c>
      <c r="C12" s="19">
        <f>IF(ISNUMBER(SEARCH("pF",B12)), VALUE(LEFT(B12,SEARCH("pF",B12)-1)),
 IF(ISNUMBER(SEARCH("nF",B12)), VALUE(LEFT(B12,SEARCH("nF",B12)-1))*1000,
 IF(ISNUMBER(SEARCH("uF",B12)), VALUE(LEFT(B12,SEARCH("uF",B12)-1))*1000000,"")))</f>
        <v>1</v>
      </c>
      <c r="D12" s="20"/>
      <c r="E12" s="22" t="s">
        <v>178</v>
      </c>
    </row>
    <row r="13" spans="1:6">
      <c r="A13" s="20"/>
      <c r="B13" s="20" t="s">
        <v>191</v>
      </c>
      <c r="C13" s="19">
        <f>IF(ISNUMBER(SEARCH("pF",B13)), VALUE(LEFT(B13,SEARCH("pF",B13)-1)),
 IF(ISNUMBER(SEARCH("nF",B13)), VALUE(LEFT(B13,SEARCH("nF",B13)-1))*1000,
 IF(ISNUMBER(SEARCH("uF",B13)), VALUE(LEFT(B13,SEARCH("uF",B13)-1))*1000000,"")))</f>
        <v>1</v>
      </c>
      <c r="D13" s="20"/>
      <c r="E13" s="22" t="s">
        <v>178</v>
      </c>
    </row>
    <row r="14" spans="1:6">
      <c r="A14" s="20"/>
      <c r="B14" s="20" t="s">
        <v>415</v>
      </c>
      <c r="C14" s="19">
        <f>IF(ISNUMBER(SEARCH("pF",B14)), VALUE(LEFT(B14,SEARCH("pF",B14)-1)),
 IF(ISNUMBER(SEARCH("nF",B14)), VALUE(LEFT(B14,SEARCH("nF",B14)-1))*1000,
 IF(ISNUMBER(SEARCH("uF",B14)), VALUE(LEFT(B14,SEARCH("uF",B14)-1))*1000000,"")))</f>
        <v>1</v>
      </c>
      <c r="D14" s="20" t="s">
        <v>339</v>
      </c>
    </row>
    <row r="15" spans="1:6">
      <c r="A15" s="21" t="s">
        <v>414</v>
      </c>
      <c r="B15" s="19" t="s">
        <v>598</v>
      </c>
      <c r="C15" s="21">
        <f>IF(ISNUMBER(SEARCH("pF",B15)), VALUE(LEFT(B15,SEARCH("pF",B15)-1)),
 IF(ISNUMBER(SEARCH("nF",B15)), VALUE(LEFT(B15,SEARCH("nF",B15)-1))*1000,
 IF(ISNUMBER(SEARCH("µF",B15)), VALUE(LEFT(B15,SEARCH("µF",B15)-1))*1000000,"")))</f>
        <v>1</v>
      </c>
      <c r="D15" s="22"/>
      <c r="E15" s="19" t="s">
        <v>597</v>
      </c>
    </row>
    <row r="16" spans="1:6">
      <c r="A16" s="20"/>
      <c r="B16" s="20" t="s">
        <v>343</v>
      </c>
      <c r="C16" s="19">
        <f>IF(ISNUMBER(SEARCH("pF",B16)), VALUE(LEFT(B16,SEARCH("pF",B16)-1)),
 IF(ISNUMBER(SEARCH("nF",B16)), VALUE(LEFT(B16,SEARCH("nF",B16)-1))*1000,
 IF(ISNUMBER(SEARCH("uF",B16)), VALUE(LEFT(B16,SEARCH("uF",B16)-1))*1000000,"")))</f>
        <v>1.8</v>
      </c>
      <c r="D16" s="20" t="s">
        <v>339</v>
      </c>
      <c r="E16" s="22" t="s">
        <v>178</v>
      </c>
    </row>
    <row r="17" spans="1:5">
      <c r="A17" s="21" t="s">
        <v>342</v>
      </c>
      <c r="B17" s="20" t="s">
        <v>585</v>
      </c>
      <c r="C17" s="21">
        <f>IF(ISNUMBER(SEARCH("pF",B17)), VALUE(LEFT(B17,SEARCH("pF",B17)-1)),
 IF(ISNUMBER(SEARCH("nF",B17)), VALUE(LEFT(B17,SEARCH("nF",B17)-1))*1000,
 IF(ISNUMBER(SEARCH("µF",B17)), VALUE(LEFT(B17,SEARCH("µF",B17)-1))*1000000,"")))</f>
        <v>1.8</v>
      </c>
      <c r="D17" s="20"/>
      <c r="E17" s="19">
        <v>402</v>
      </c>
    </row>
    <row r="18" spans="1:5">
      <c r="A18" s="20"/>
      <c r="B18" s="20" t="s">
        <v>196</v>
      </c>
      <c r="C18" s="19">
        <f>IF(ISNUMBER(SEARCH("pF",B18)), VALUE(LEFT(B18,SEARCH("pF",B18)-1)),
 IF(ISNUMBER(SEARCH("nF",B18)), VALUE(LEFT(B18,SEARCH("nF",B18)-1))*1000,
 IF(ISNUMBER(SEARCH("uF",B18)), VALUE(LEFT(B18,SEARCH("uF",B18)-1))*1000000,"")))</f>
        <v>2.2000000000000002</v>
      </c>
      <c r="D18" s="20"/>
      <c r="E18" s="22" t="s">
        <v>179</v>
      </c>
    </row>
    <row r="19" spans="1:5">
      <c r="A19" s="20" t="s">
        <v>344</v>
      </c>
      <c r="B19" s="21" t="s">
        <v>572</v>
      </c>
      <c r="C19" s="21">
        <f>IF(ISNUMBER(SEARCH("pF",B19)), VALUE(LEFT(B19,SEARCH("pF",B19)-1)),
 IF(ISNUMBER(SEARCH("nF",B19)), VALUE(LEFT(B19,SEARCH("nF",B19)-1))*1000,
 IF(ISNUMBER(SEARCH("µF",B19)), VALUE(LEFT(B19,SEARCH("µF",B19)-1))*1000000,"")))</f>
        <v>3</v>
      </c>
      <c r="D19" s="21"/>
      <c r="E19" s="24">
        <v>402</v>
      </c>
    </row>
    <row r="20" spans="1:5">
      <c r="A20" s="20"/>
      <c r="B20" s="20" t="s">
        <v>345</v>
      </c>
      <c r="C20" s="19">
        <f t="shared" ref="C20:C26" si="1">IF(ISNUMBER(SEARCH("pF",B20)), VALUE(LEFT(B20,SEARCH("pF",B20)-1)),
 IF(ISNUMBER(SEARCH("nF",B20)), VALUE(LEFT(B20,SEARCH("nF",B20)-1))*1000,
 IF(ISNUMBER(SEARCH("uF",B20)), VALUE(LEFT(B20,SEARCH("uF",B20)-1))*1000000,"")))</f>
        <v>3.9</v>
      </c>
      <c r="D20" s="20" t="s">
        <v>346</v>
      </c>
      <c r="E20" s="22" t="s">
        <v>178</v>
      </c>
    </row>
    <row r="21" spans="1:5">
      <c r="A21" s="22"/>
      <c r="B21" s="20" t="s">
        <v>352</v>
      </c>
      <c r="C21" s="19">
        <f t="shared" si="1"/>
        <v>4.7</v>
      </c>
      <c r="D21" s="20" t="s">
        <v>353</v>
      </c>
      <c r="E21" s="23" t="s">
        <v>179</v>
      </c>
    </row>
    <row r="22" spans="1:5">
      <c r="A22" s="20"/>
      <c r="B22" s="21" t="s">
        <v>449</v>
      </c>
      <c r="C22" s="21">
        <f t="shared" si="1"/>
        <v>4.7</v>
      </c>
      <c r="D22" s="21">
        <v>250</v>
      </c>
      <c r="E22" s="24" t="s">
        <v>179</v>
      </c>
    </row>
    <row r="23" spans="1:5">
      <c r="A23" s="20" t="s">
        <v>448</v>
      </c>
      <c r="B23" s="21" t="s">
        <v>569</v>
      </c>
      <c r="C23" s="21">
        <f t="shared" si="1"/>
        <v>4.7</v>
      </c>
      <c r="D23" s="21"/>
      <c r="E23" s="24">
        <v>603</v>
      </c>
    </row>
    <row r="24" spans="1:5">
      <c r="A24" s="20" t="s">
        <v>351</v>
      </c>
      <c r="B24" s="20" t="s">
        <v>569</v>
      </c>
      <c r="C24" s="21">
        <f t="shared" si="1"/>
        <v>4.7</v>
      </c>
      <c r="D24" s="20"/>
      <c r="E24" s="23">
        <v>603</v>
      </c>
    </row>
    <row r="25" spans="1:5">
      <c r="A25" s="20"/>
      <c r="B25" s="21" t="s">
        <v>461</v>
      </c>
      <c r="C25" s="21">
        <f t="shared" si="1"/>
        <v>5.6</v>
      </c>
      <c r="D25" s="21">
        <v>250</v>
      </c>
      <c r="E25" s="24" t="s">
        <v>179</v>
      </c>
    </row>
    <row r="26" spans="1:5">
      <c r="A26" s="20" t="s">
        <v>472</v>
      </c>
      <c r="B26" s="20" t="s">
        <v>570</v>
      </c>
      <c r="C26" s="21">
        <f t="shared" si="1"/>
        <v>5.6</v>
      </c>
      <c r="D26" s="20"/>
      <c r="E26" s="22">
        <v>603</v>
      </c>
    </row>
    <row r="27" spans="1:5">
      <c r="A27" s="20" t="s">
        <v>460</v>
      </c>
      <c r="B27" s="20" t="s">
        <v>570</v>
      </c>
      <c r="C27" s="21">
        <f>IF(ISNUMBER(SEARCH("pF",B27)), VALUE(LEFT(B27,SEARCH("pF",B27)-1)),
 IF(ISNUMBER(SEARCH("nF",B27)), VALUE(LEFT(B27,SEARCH("nF",B27)-1))*1000,
 IF(ISNUMBER(SEARCH("µF",B27)), VALUE(LEFT(B27,SEARCH("µF",B27)-1))*1000000,"")))</f>
        <v>5.6</v>
      </c>
      <c r="D27" s="20"/>
      <c r="E27" s="23">
        <v>603</v>
      </c>
    </row>
    <row r="28" spans="1:5">
      <c r="A28" s="20"/>
      <c r="B28" s="21" t="s">
        <v>456</v>
      </c>
      <c r="C28" s="21">
        <f t="shared" ref="C28:C39" si="2">IF(ISNUMBER(SEARCH("pF",B28)), VALUE(LEFT(B28,SEARCH("pF",B28)-1)),
 IF(ISNUMBER(SEARCH("nF",B28)), VALUE(LEFT(B28,SEARCH("nF",B28)-1))*1000,
 IF(ISNUMBER(SEARCH("uF",B28)), VALUE(LEFT(B28,SEARCH("uF",B28)-1))*1000000,"")))</f>
        <v>6.8</v>
      </c>
      <c r="D28" s="21">
        <v>250</v>
      </c>
      <c r="E28" s="24" t="s">
        <v>179</v>
      </c>
    </row>
    <row r="29" spans="1:5">
      <c r="A29" s="20" t="s">
        <v>455</v>
      </c>
      <c r="B29" s="20" t="s">
        <v>571</v>
      </c>
      <c r="C29" s="21">
        <f t="shared" si="2"/>
        <v>6.8</v>
      </c>
      <c r="D29" s="20"/>
      <c r="E29" s="22">
        <v>603</v>
      </c>
    </row>
    <row r="30" spans="1:5">
      <c r="A30" s="20"/>
      <c r="B30" s="20" t="s">
        <v>195</v>
      </c>
      <c r="C30" s="19">
        <f t="shared" si="2"/>
        <v>8.1999999999999993</v>
      </c>
      <c r="D30" s="20"/>
      <c r="E30" s="22" t="s">
        <v>179</v>
      </c>
    </row>
    <row r="31" spans="1:5">
      <c r="A31" s="20"/>
      <c r="B31" s="20" t="s">
        <v>198</v>
      </c>
      <c r="C31" s="19">
        <f t="shared" si="2"/>
        <v>10</v>
      </c>
      <c r="D31" s="20"/>
      <c r="E31" s="22" t="s">
        <v>197</v>
      </c>
    </row>
    <row r="32" spans="1:5">
      <c r="A32" s="20"/>
      <c r="B32" s="20" t="s">
        <v>364</v>
      </c>
      <c r="C32" s="19">
        <f t="shared" si="2"/>
        <v>10</v>
      </c>
      <c r="D32" s="20" t="s">
        <v>346</v>
      </c>
      <c r="E32" s="23" t="s">
        <v>197</v>
      </c>
    </row>
    <row r="33" spans="1:5">
      <c r="A33" s="20" t="s">
        <v>363</v>
      </c>
      <c r="B33" s="20" t="s">
        <v>564</v>
      </c>
      <c r="C33" s="21">
        <f t="shared" si="2"/>
        <v>10</v>
      </c>
      <c r="D33" s="20"/>
      <c r="E33" s="23">
        <v>805</v>
      </c>
    </row>
    <row r="34" spans="1:5">
      <c r="A34" s="20"/>
      <c r="B34" s="20" t="s">
        <v>193</v>
      </c>
      <c r="C34" s="19">
        <f t="shared" si="2"/>
        <v>11</v>
      </c>
      <c r="D34" s="20"/>
      <c r="E34" s="22" t="s">
        <v>179</v>
      </c>
    </row>
    <row r="35" spans="1:5">
      <c r="A35" s="20"/>
      <c r="B35" s="20" t="s">
        <v>194</v>
      </c>
      <c r="C35" s="19">
        <f t="shared" si="2"/>
        <v>13</v>
      </c>
      <c r="D35" s="20"/>
      <c r="E35" s="22" t="s">
        <v>179</v>
      </c>
    </row>
    <row r="36" spans="1:5">
      <c r="A36" s="20"/>
      <c r="B36" s="20" t="s">
        <v>200</v>
      </c>
      <c r="C36" s="19">
        <f t="shared" si="2"/>
        <v>20</v>
      </c>
      <c r="D36" s="20"/>
      <c r="E36" s="22" t="s">
        <v>179</v>
      </c>
    </row>
    <row r="37" spans="1:5">
      <c r="A37" s="20"/>
      <c r="B37" s="22" t="s">
        <v>199</v>
      </c>
      <c r="C37" s="19">
        <f t="shared" si="2"/>
        <v>22</v>
      </c>
      <c r="D37" s="22"/>
      <c r="E37" s="22" t="s">
        <v>188</v>
      </c>
    </row>
    <row r="38" spans="1:5">
      <c r="A38" s="20"/>
      <c r="B38" s="20" t="s">
        <v>199</v>
      </c>
      <c r="C38" s="19">
        <f t="shared" si="2"/>
        <v>22</v>
      </c>
      <c r="D38" s="20"/>
      <c r="E38" s="22" t="s">
        <v>201</v>
      </c>
    </row>
    <row r="39" spans="1:5">
      <c r="A39" s="20"/>
      <c r="B39" s="20" t="s">
        <v>380</v>
      </c>
      <c r="C39" s="19">
        <f t="shared" si="2"/>
        <v>27</v>
      </c>
      <c r="D39" s="20" t="s">
        <v>346</v>
      </c>
      <c r="E39" s="23" t="s">
        <v>197</v>
      </c>
    </row>
    <row r="40" spans="1:5">
      <c r="A40" s="21" t="s">
        <v>379</v>
      </c>
      <c r="B40" s="21" t="s">
        <v>587</v>
      </c>
      <c r="C40" s="21">
        <f>IF(ISNUMBER(SEARCH("pF",B40)), VALUE(LEFT(B40,SEARCH("pF",B40)-1)),
 IF(ISNUMBER(SEARCH("nF",B40)), VALUE(LEFT(B40,SEARCH("nF",B40)-1))*1000,
 IF(ISNUMBER(SEARCH("µF",B40)), VALUE(LEFT(B40,SEARCH("µF",B40)-1))*1000000,"")))</f>
        <v>27</v>
      </c>
      <c r="D40" s="21"/>
      <c r="E40" s="24">
        <v>805</v>
      </c>
    </row>
    <row r="41" spans="1:5">
      <c r="A41" s="20"/>
      <c r="B41" s="21" t="s">
        <v>463</v>
      </c>
      <c r="C41" s="21">
        <f>IF(ISNUMBER(SEARCH("pF",B41)), VALUE(LEFT(B41,SEARCH("pF",B41)-1)),
 IF(ISNUMBER(SEARCH("nF",B41)), VALUE(LEFT(B41,SEARCH("nF",B41)-1))*1000,
 IF(ISNUMBER(SEARCH("uF",B41)), VALUE(LEFT(B41,SEARCH("uF",B41)-1))*1000000,"")))</f>
        <v>47</v>
      </c>
      <c r="D41" s="21">
        <v>50</v>
      </c>
      <c r="E41" s="24" t="s">
        <v>179</v>
      </c>
    </row>
    <row r="42" spans="1:5">
      <c r="A42" s="20" t="s">
        <v>462</v>
      </c>
      <c r="B42" s="20" t="s">
        <v>562</v>
      </c>
      <c r="C42" s="21">
        <f>IF(ISNUMBER(SEARCH("pF",B42)), VALUE(LEFT(B42,SEARCH("pF",B42)-1)),
 IF(ISNUMBER(SEARCH("nF",B42)), VALUE(LEFT(B42,SEARCH("nF",B42)-1))*1000,
 IF(ISNUMBER(SEARCH("uF",B42)), VALUE(LEFT(B42,SEARCH("uF",B42)-1))*1000000,"")))</f>
        <v>47</v>
      </c>
      <c r="D42" s="20"/>
      <c r="E42" s="23">
        <v>603</v>
      </c>
    </row>
    <row r="43" spans="1:5">
      <c r="A43" s="20"/>
      <c r="B43" s="21" t="s">
        <v>459</v>
      </c>
      <c r="C43" s="21">
        <f>IF(ISNUMBER(SEARCH("pF",B43)), VALUE(LEFT(B43,SEARCH("pF",B43)-1)),
 IF(ISNUMBER(SEARCH("nF",B43)), VALUE(LEFT(B43,SEARCH("nF",B43)-1))*1000,
 IF(ISNUMBER(SEARCH("uF",B43)), VALUE(LEFT(B43,SEARCH("uF",B43)-1))*1000000,"")))</f>
        <v>56</v>
      </c>
      <c r="D43" s="21">
        <v>50</v>
      </c>
      <c r="E43" s="24" t="s">
        <v>179</v>
      </c>
    </row>
    <row r="44" spans="1:5">
      <c r="A44" s="20" t="s">
        <v>458</v>
      </c>
      <c r="B44" s="20" t="s">
        <v>573</v>
      </c>
      <c r="C44" s="21">
        <f>IF(ISNUMBER(SEARCH("pF",B44)), VALUE(LEFT(B44,SEARCH("pF",B44)-1)),
 IF(ISNUMBER(SEARCH("nF",B44)), VALUE(LEFT(B44,SEARCH("nF",B44)-1))*1000,
 IF(ISNUMBER(SEARCH("µF",B44)), VALUE(LEFT(B44,SEARCH("µF",B44)-1))*1000000,"")))</f>
        <v>56</v>
      </c>
      <c r="D44" s="20"/>
      <c r="E44" s="19">
        <v>603</v>
      </c>
    </row>
    <row r="45" spans="1:5">
      <c r="A45" s="20"/>
      <c r="B45" s="21" t="s">
        <v>454</v>
      </c>
      <c r="C45" s="21">
        <f>IF(ISNUMBER(SEARCH("pF",B45)), VALUE(LEFT(B45,SEARCH("pF",B45)-1)),
 IF(ISNUMBER(SEARCH("nF",B45)), VALUE(LEFT(B45,SEARCH("nF",B45)-1))*1000,
 IF(ISNUMBER(SEARCH("uF",B45)), VALUE(LEFT(B45,SEARCH("uF",B45)-1))*1000000,"")))</f>
        <v>68</v>
      </c>
      <c r="D45" s="21">
        <v>50</v>
      </c>
      <c r="E45" s="24" t="s">
        <v>179</v>
      </c>
    </row>
    <row r="46" spans="1:5">
      <c r="A46" s="20"/>
      <c r="B46" s="21" t="s">
        <v>454</v>
      </c>
      <c r="C46" s="21">
        <f>IF(ISNUMBER(SEARCH("pF",B46)), VALUE(LEFT(B46,SEARCH("pF",B46)-1)),
 IF(ISNUMBER(SEARCH("nF",B46)), VALUE(LEFT(B46,SEARCH("nF",B46)-1))*1000,
 IF(ISNUMBER(SEARCH("uF",B46)), VALUE(LEFT(B46,SEARCH("uF",B46)-1))*1000000,"")))</f>
        <v>68</v>
      </c>
      <c r="D46" s="21">
        <v>50</v>
      </c>
      <c r="E46" s="24" t="s">
        <v>179</v>
      </c>
    </row>
    <row r="47" spans="1:5">
      <c r="A47" s="19" t="s">
        <v>464</v>
      </c>
      <c r="B47" s="21" t="s">
        <v>563</v>
      </c>
      <c r="C47" s="21">
        <f>IF(ISNUMBER(SEARCH("pF",B47)), VALUE(LEFT(B47,SEARCH("pF",B47)-1)),
 IF(ISNUMBER(SEARCH("nF",B47)), VALUE(LEFT(B47,SEARCH("nF",B47)-1))*1000,
 IF(ISNUMBER(SEARCH("uF",B47)), VALUE(LEFT(B47,SEARCH("uF",B47)-1))*1000000,"")))</f>
        <v>68</v>
      </c>
      <c r="D47" s="24"/>
      <c r="E47" s="24">
        <v>603</v>
      </c>
    </row>
    <row r="48" spans="1:5">
      <c r="A48" s="20" t="s">
        <v>453</v>
      </c>
      <c r="B48" s="20" t="s">
        <v>563</v>
      </c>
      <c r="C48" s="21">
        <f>IF(ISNUMBER(SEARCH("pF",B48)), VALUE(LEFT(B48,SEARCH("pF",B48)-1)),
 IF(ISNUMBER(SEARCH("nF",B48)), VALUE(LEFT(B48,SEARCH("nF",B48)-1))*1000,
 IF(ISNUMBER(SEARCH("µF",B48)), VALUE(LEFT(B48,SEARCH("µF",B48)-1))*1000000,"")))</f>
        <v>68</v>
      </c>
      <c r="D48" s="20"/>
      <c r="E48" s="22">
        <v>603</v>
      </c>
    </row>
    <row r="49" spans="1:5">
      <c r="A49" s="20"/>
      <c r="B49" s="20" t="s">
        <v>15</v>
      </c>
      <c r="C49" s="19">
        <f>IF(ISNUMBER(SEARCH("pF",B49)), VALUE(LEFT(B49,SEARCH("pF",B49)-1)),
 IF(ISNUMBER(SEARCH("nF",B49)), VALUE(LEFT(B49,SEARCH("nF",B49)-1))*1000,
 IF(ISNUMBER(SEARCH("uF",B49)), VALUE(LEFT(B49,SEARCH("uF",B49)-1))*1000000,"")))</f>
        <v>100</v>
      </c>
      <c r="D49" s="20"/>
    </row>
    <row r="50" spans="1:5">
      <c r="A50" s="20"/>
      <c r="B50" s="20" t="s">
        <v>338</v>
      </c>
      <c r="C50" s="19">
        <f>IF(ISNUMBER(SEARCH("pF",B50)), VALUE(LEFT(B50,SEARCH("pF",B50)-1)),
 IF(ISNUMBER(SEARCH("nF",B50)), VALUE(LEFT(B50,SEARCH("nF",B50)-1))*1000,
 IF(ISNUMBER(SEARCH("uF",B50)), VALUE(LEFT(B50,SEARCH("uF",B50)-1))*1000000,"")))</f>
        <v>100</v>
      </c>
      <c r="D50" s="20" t="s">
        <v>339</v>
      </c>
      <c r="E50" s="23" t="s">
        <v>178</v>
      </c>
    </row>
    <row r="51" spans="1:5">
      <c r="A51" s="20"/>
      <c r="B51" s="20" t="s">
        <v>348</v>
      </c>
      <c r="C51" s="19">
        <f>IF(ISNUMBER(SEARCH("pF",B51)), VALUE(LEFT(B51,SEARCH("pF",B51)-1)),
 IF(ISNUMBER(SEARCH("nF",B51)), VALUE(LEFT(B51,SEARCH("nF",B51)-1))*1000,
 IF(ISNUMBER(SEARCH("uF",B51)), VALUE(LEFT(B51,SEARCH("uF",B51)-1))*1000000,"")))</f>
        <v>100</v>
      </c>
      <c r="D51" s="20" t="s">
        <v>346</v>
      </c>
      <c r="E51" s="23" t="s">
        <v>178</v>
      </c>
    </row>
    <row r="52" spans="1:5">
      <c r="A52" s="22"/>
      <c r="B52" s="21" t="s">
        <v>447</v>
      </c>
      <c r="C52" s="21">
        <f>IF(ISNUMBER(SEARCH("pF",B52)), VALUE(LEFT(B52,SEARCH("pF",B52)-1)),
 IF(ISNUMBER(SEARCH("nF",B52)), VALUE(LEFT(B52,SEARCH("nF",B52)-1))*1000,
 IF(ISNUMBER(SEARCH("uF",B52)), VALUE(LEFT(B52,SEARCH("uF",B52)-1))*1000000,"")))</f>
        <v>100</v>
      </c>
      <c r="D52" s="21">
        <v>5</v>
      </c>
      <c r="E52" s="24" t="s">
        <v>179</v>
      </c>
    </row>
    <row r="53" spans="1:5">
      <c r="A53" s="20" t="s">
        <v>337</v>
      </c>
      <c r="B53" s="20" t="s">
        <v>15</v>
      </c>
      <c r="C53" s="21">
        <f t="shared" ref="C53:C61" si="3">IF(ISNUMBER(SEARCH("pF",B53)), VALUE(LEFT(B53,SEARCH("pF",B53)-1)),
 IF(ISNUMBER(SEARCH("nF",B53)), VALUE(LEFT(B53,SEARCH("nF",B53)-1))*1000,
 IF(ISNUMBER(SEARCH("µF",B53)), VALUE(LEFT(B53,SEARCH("µF",B53)-1))*1000000,"")))</f>
        <v>100</v>
      </c>
      <c r="D53" s="20"/>
      <c r="E53" s="22" t="s">
        <v>178</v>
      </c>
    </row>
    <row r="54" spans="1:5">
      <c r="A54" s="20" t="s">
        <v>347</v>
      </c>
      <c r="B54" s="21" t="s">
        <v>15</v>
      </c>
      <c r="C54" s="21">
        <f t="shared" si="3"/>
        <v>100</v>
      </c>
      <c r="D54" s="21"/>
      <c r="E54" s="24" t="s">
        <v>178</v>
      </c>
    </row>
    <row r="55" spans="1:5">
      <c r="A55" s="21" t="s">
        <v>446</v>
      </c>
      <c r="B55" s="20" t="s">
        <v>15</v>
      </c>
      <c r="C55" s="21">
        <f t="shared" si="3"/>
        <v>100</v>
      </c>
      <c r="D55" s="20"/>
      <c r="E55" s="22" t="s">
        <v>179</v>
      </c>
    </row>
    <row r="56" spans="1:5">
      <c r="A56" s="21" t="s">
        <v>377</v>
      </c>
      <c r="B56" s="20" t="s">
        <v>588</v>
      </c>
      <c r="C56" s="21">
        <f t="shared" si="3"/>
        <v>390</v>
      </c>
      <c r="D56" s="20"/>
      <c r="E56" s="23" t="s">
        <v>197</v>
      </c>
    </row>
    <row r="57" spans="1:5">
      <c r="A57" s="20" t="s">
        <v>465</v>
      </c>
      <c r="B57" s="20" t="s">
        <v>581</v>
      </c>
      <c r="C57" s="21">
        <f t="shared" si="3"/>
        <v>500</v>
      </c>
      <c r="D57" s="20"/>
      <c r="E57" s="22" t="s">
        <v>179</v>
      </c>
    </row>
    <row r="58" spans="1:5">
      <c r="A58" s="20" t="s">
        <v>366</v>
      </c>
      <c r="B58" s="20" t="s">
        <v>575</v>
      </c>
      <c r="C58" s="21">
        <f t="shared" si="3"/>
        <v>820</v>
      </c>
      <c r="D58" s="20"/>
      <c r="E58" s="22" t="s">
        <v>197</v>
      </c>
    </row>
    <row r="59" spans="1:5">
      <c r="A59" s="21" t="s">
        <v>473</v>
      </c>
      <c r="B59" s="20" t="s">
        <v>591</v>
      </c>
      <c r="C59" s="21">
        <f t="shared" si="3"/>
        <v>1000</v>
      </c>
      <c r="D59" s="20"/>
      <c r="E59" s="23" t="s">
        <v>178</v>
      </c>
    </row>
    <row r="60" spans="1:5">
      <c r="A60" s="21" t="s">
        <v>367</v>
      </c>
      <c r="B60" s="20" t="s">
        <v>593</v>
      </c>
      <c r="C60" s="21">
        <f t="shared" si="3"/>
        <v>3300</v>
      </c>
      <c r="D60" s="20"/>
      <c r="E60" s="23" t="s">
        <v>197</v>
      </c>
    </row>
    <row r="61" spans="1:5">
      <c r="A61" s="21" t="s">
        <v>466</v>
      </c>
      <c r="B61" s="20" t="s">
        <v>586</v>
      </c>
      <c r="C61" s="21">
        <f t="shared" si="3"/>
        <v>10000</v>
      </c>
      <c r="D61" s="20"/>
      <c r="E61" s="23" t="s">
        <v>179</v>
      </c>
    </row>
    <row r="62" spans="1:5">
      <c r="A62" s="20" t="s">
        <v>350</v>
      </c>
      <c r="B62" s="21" t="s">
        <v>561</v>
      </c>
      <c r="C62" s="21">
        <f>IF(ISNUMBER(SEARCH("pF",B62)), VALUE(LEFT(B62,SEARCH("pF",B62)-1)),
 IF(ISNUMBER(SEARCH("nF",B62)), VALUE(LEFT(B62,SEARCH("nF",B62)-1))*1000,
 IF(ISNUMBER(SEARCH("uF",B62)), VALUE(LEFT(B62,SEARCH("uF",B62)-1))*1000000,"")))</f>
        <v>100000</v>
      </c>
      <c r="D62" s="21"/>
      <c r="E62" s="24" t="s">
        <v>178</v>
      </c>
    </row>
    <row r="63" spans="1:5">
      <c r="A63" s="21" t="s">
        <v>457</v>
      </c>
      <c r="B63" s="20" t="s">
        <v>561</v>
      </c>
      <c r="C63" s="21">
        <f t="shared" ref="C63:C80" si="4">IF(ISNUMBER(SEARCH("pF",B63)), VALUE(LEFT(B63,SEARCH("pF",B63)-1)),
 IF(ISNUMBER(SEARCH("nF",B63)), VALUE(LEFT(B63,SEARCH("nF",B63)-1))*1000,
 IF(ISNUMBER(SEARCH("µF",B63)), VALUE(LEFT(B63,SEARCH("µF",B63)-1))*1000000,"")))</f>
        <v>100000</v>
      </c>
      <c r="D63" s="20"/>
      <c r="E63" s="23" t="s">
        <v>179</v>
      </c>
    </row>
    <row r="64" spans="1:5">
      <c r="A64" s="20" t="s">
        <v>378</v>
      </c>
      <c r="B64" s="21" t="s">
        <v>574</v>
      </c>
      <c r="C64" s="21">
        <f t="shared" si="4"/>
        <v>1000000</v>
      </c>
      <c r="D64" s="21"/>
      <c r="E64" s="24" t="s">
        <v>197</v>
      </c>
    </row>
    <row r="65" spans="1:5">
      <c r="A65" s="21" t="s">
        <v>451</v>
      </c>
      <c r="B65" s="20" t="s">
        <v>592</v>
      </c>
      <c r="C65" s="21">
        <f t="shared" si="4"/>
        <v>2200000</v>
      </c>
      <c r="D65" s="20"/>
      <c r="E65" s="22" t="s">
        <v>179</v>
      </c>
    </row>
    <row r="66" spans="1:5">
      <c r="A66" s="21" t="s">
        <v>452</v>
      </c>
      <c r="B66" s="20" t="s">
        <v>592</v>
      </c>
      <c r="C66" s="21">
        <f t="shared" si="4"/>
        <v>2200000</v>
      </c>
      <c r="D66" s="20"/>
      <c r="E66" s="23" t="s">
        <v>179</v>
      </c>
    </row>
    <row r="67" spans="1:5">
      <c r="A67" s="20" t="s">
        <v>450</v>
      </c>
      <c r="B67" s="21" t="s">
        <v>584</v>
      </c>
      <c r="C67" s="21">
        <f t="shared" si="4"/>
        <v>4700000</v>
      </c>
      <c r="D67" s="21"/>
      <c r="E67" s="24" t="s">
        <v>179</v>
      </c>
    </row>
    <row r="68" spans="1:5">
      <c r="A68" s="20" t="s">
        <v>349</v>
      </c>
      <c r="B68" s="20" t="s">
        <v>584</v>
      </c>
      <c r="C68" s="21">
        <f t="shared" si="4"/>
        <v>4700000</v>
      </c>
      <c r="D68" s="20"/>
      <c r="E68" s="22" t="s">
        <v>178</v>
      </c>
    </row>
    <row r="69" spans="1:5">
      <c r="A69" s="20" t="s">
        <v>576</v>
      </c>
      <c r="B69" s="20" t="s">
        <v>577</v>
      </c>
      <c r="C69" s="21">
        <f t="shared" si="4"/>
        <v>10000000</v>
      </c>
      <c r="D69" s="20"/>
      <c r="E69" s="22" t="s">
        <v>179</v>
      </c>
    </row>
    <row r="70" spans="1:5">
      <c r="A70" s="21" t="s">
        <v>406</v>
      </c>
      <c r="B70" s="20" t="s">
        <v>577</v>
      </c>
      <c r="C70" s="21">
        <f t="shared" si="4"/>
        <v>10000000</v>
      </c>
      <c r="D70" s="20"/>
      <c r="E70" s="23" t="s">
        <v>590</v>
      </c>
    </row>
    <row r="71" spans="1:5">
      <c r="A71" s="21" t="s">
        <v>360</v>
      </c>
      <c r="B71" s="20" t="s">
        <v>577</v>
      </c>
      <c r="C71" s="21">
        <f t="shared" si="4"/>
        <v>10000000</v>
      </c>
      <c r="D71" s="20"/>
      <c r="E71" s="23">
        <v>1206</v>
      </c>
    </row>
    <row r="72" spans="1:5">
      <c r="A72" s="20" t="s">
        <v>365</v>
      </c>
      <c r="B72" s="20" t="s">
        <v>578</v>
      </c>
      <c r="C72" s="21">
        <f t="shared" si="4"/>
        <v>15000000</v>
      </c>
      <c r="D72" s="20"/>
      <c r="E72" s="22" t="s">
        <v>197</v>
      </c>
    </row>
    <row r="73" spans="1:5">
      <c r="A73" s="20" t="s">
        <v>582</v>
      </c>
      <c r="B73" s="21" t="s">
        <v>583</v>
      </c>
      <c r="C73" s="21">
        <f t="shared" si="4"/>
        <v>22000000</v>
      </c>
      <c r="D73" s="21"/>
      <c r="E73" s="24">
        <v>1206</v>
      </c>
    </row>
    <row r="74" spans="1:5">
      <c r="A74" s="21" t="s">
        <v>359</v>
      </c>
      <c r="B74" s="20" t="s">
        <v>583</v>
      </c>
      <c r="C74" s="21">
        <f t="shared" si="4"/>
        <v>22000000</v>
      </c>
      <c r="D74" s="20"/>
      <c r="E74" s="22" t="s">
        <v>589</v>
      </c>
    </row>
    <row r="75" spans="1:5">
      <c r="A75" s="21" t="s">
        <v>362</v>
      </c>
      <c r="B75" s="20" t="s">
        <v>583</v>
      </c>
      <c r="C75" s="21">
        <f t="shared" si="4"/>
        <v>22000000</v>
      </c>
      <c r="D75" s="20"/>
      <c r="E75" s="23" t="s">
        <v>197</v>
      </c>
    </row>
    <row r="76" spans="1:5">
      <c r="A76" s="21" t="s">
        <v>355</v>
      </c>
      <c r="B76" s="20" t="s">
        <v>583</v>
      </c>
      <c r="C76" s="21">
        <f t="shared" si="4"/>
        <v>22000000</v>
      </c>
      <c r="D76" s="20"/>
      <c r="E76" s="23">
        <v>1210</v>
      </c>
    </row>
    <row r="77" spans="1:5">
      <c r="A77" s="21" t="s">
        <v>357</v>
      </c>
      <c r="B77" s="20" t="s">
        <v>583</v>
      </c>
      <c r="C77" s="21">
        <f t="shared" si="4"/>
        <v>22000000</v>
      </c>
      <c r="D77" s="20"/>
      <c r="E77" s="22">
        <v>1210</v>
      </c>
    </row>
    <row r="78" spans="1:5">
      <c r="A78" s="20" t="s">
        <v>354</v>
      </c>
      <c r="B78" s="20" t="s">
        <v>579</v>
      </c>
      <c r="C78" s="21">
        <f t="shared" si="4"/>
        <v>33000000</v>
      </c>
      <c r="D78" s="20"/>
      <c r="E78" s="23">
        <v>1206</v>
      </c>
    </row>
    <row r="79" spans="1:5">
      <c r="A79" s="20" t="s">
        <v>358</v>
      </c>
      <c r="B79" s="20" t="s">
        <v>580</v>
      </c>
      <c r="C79" s="21">
        <f t="shared" si="4"/>
        <v>47000000</v>
      </c>
      <c r="D79" s="20"/>
      <c r="E79" s="22">
        <v>1206</v>
      </c>
    </row>
    <row r="80" spans="1:5">
      <c r="A80" s="20" t="s">
        <v>381</v>
      </c>
      <c r="B80" s="20" t="s">
        <v>580</v>
      </c>
      <c r="C80" s="21">
        <f t="shared" si="4"/>
        <v>47000000</v>
      </c>
      <c r="D80" s="20"/>
      <c r="E80" s="23">
        <v>805</v>
      </c>
    </row>
    <row r="81" spans="1:6">
      <c r="A81" s="21" t="s">
        <v>356</v>
      </c>
      <c r="B81" s="20" t="s">
        <v>596</v>
      </c>
      <c r="C81" s="21">
        <f>IF(ISNUMBER(SEARCH("pF",B81)), VALUE(LEFT(B81,SEARCH("pF",B81)-1)),
 IF(ISNUMBER(SEARCH("nF",B81)), VALUE(LEFT(B81,SEARCH("nF",B81)-1))*1000,
 IF(ISNUMBER(SEARCH("µF",B81)), VALUE(LEFT(B81,SEARCH("µF",B81)-1))*1000000,"")))</f>
        <v>100000000</v>
      </c>
      <c r="D81" s="20"/>
      <c r="E81" s="22" t="s">
        <v>595</v>
      </c>
    </row>
    <row r="82" spans="1:6">
      <c r="A82" s="20" t="s">
        <v>202</v>
      </c>
      <c r="B82" s="21" t="s">
        <v>10</v>
      </c>
      <c r="C82" s="21">
        <f>IF(ISNUMBER(SEARCH("pF",B82)), VALUE(LEFT(B82,SEARCH("pF",B82)-1)),
 IF(ISNUMBER(SEARCH("nF",B82)), VALUE(LEFT(B82,SEARCH("nF",B82)-1))*1000,
 IF(ISNUMBER(SEARCH("uF",B82)), VALUE(LEFT(B82,SEARCH("uF",B82)-1))*1000000,"")))</f>
        <v>220000000</v>
      </c>
      <c r="D82" s="21" t="s">
        <v>346</v>
      </c>
      <c r="E82" s="24" t="s">
        <v>192</v>
      </c>
    </row>
    <row r="83" spans="1:6">
      <c r="A83" s="52" t="s">
        <v>748</v>
      </c>
      <c r="B83" s="53" t="s">
        <v>755</v>
      </c>
      <c r="C83" s="54">
        <f>IF(ISNUMBER(SEARCH("pF",B83)), VALUE(LEFT(B83,SEARCH("pF",B83)-1)),
 IF(ISNUMBER(SEARCH("nF",B83)), VALUE(LEFT(B83,SEARCH("nF",B83)-1))*1000,
 IF(ISNUMBER(SEARCH("uF",B83)), VALUE(LEFT(B83,SEARCH("uF",B83)-1))*1000000,"")))</f>
        <v>100000</v>
      </c>
      <c r="D83" s="54"/>
      <c r="E83" s="48" t="s">
        <v>749</v>
      </c>
      <c r="F83" s="53">
        <v>200</v>
      </c>
    </row>
    <row r="84" spans="1:6">
      <c r="A84" s="52" t="s">
        <v>750</v>
      </c>
      <c r="B84" s="53" t="s">
        <v>756</v>
      </c>
      <c r="C84" s="54">
        <f t="shared" ref="C84:C106" si="5">IF(ISNUMBER(SEARCH("pF",B84)), VALUE(LEFT(B84,SEARCH("pF",B84)-1)),
 IF(ISNUMBER(SEARCH("nF",B84)), VALUE(LEFT(B84,SEARCH("nF",B84)-1))*1000,
 IF(ISNUMBER(SEARCH("uF",B84)), VALUE(LEFT(B84,SEARCH("uF",B84)-1))*1000000,"")))</f>
        <v>1000</v>
      </c>
      <c r="D84" s="54"/>
      <c r="E84" s="48" t="s">
        <v>749</v>
      </c>
      <c r="F84" s="53">
        <v>800</v>
      </c>
    </row>
    <row r="85" spans="1:6">
      <c r="A85" s="52" t="s">
        <v>751</v>
      </c>
      <c r="B85" s="53" t="s">
        <v>756</v>
      </c>
      <c r="C85" s="54">
        <f t="shared" si="5"/>
        <v>1000</v>
      </c>
      <c r="D85" s="54"/>
      <c r="E85" s="48" t="s">
        <v>749</v>
      </c>
      <c r="F85" s="53">
        <v>150</v>
      </c>
    </row>
    <row r="86" spans="1:6">
      <c r="A86" s="52" t="s">
        <v>752</v>
      </c>
      <c r="B86" s="53" t="s">
        <v>755</v>
      </c>
      <c r="C86" s="54">
        <f t="shared" si="5"/>
        <v>100000</v>
      </c>
      <c r="D86" s="54"/>
      <c r="E86" s="48" t="s">
        <v>749</v>
      </c>
      <c r="F86" s="53">
        <v>300</v>
      </c>
    </row>
    <row r="87" spans="1:6">
      <c r="A87" s="52" t="s">
        <v>753</v>
      </c>
      <c r="B87" s="53" t="s">
        <v>755</v>
      </c>
      <c r="C87" s="54">
        <f t="shared" si="5"/>
        <v>100000</v>
      </c>
      <c r="D87" s="54"/>
      <c r="E87" s="48" t="s">
        <v>749</v>
      </c>
      <c r="F87" s="53">
        <v>300</v>
      </c>
    </row>
    <row r="88" spans="1:6">
      <c r="A88" s="54" t="s">
        <v>763</v>
      </c>
      <c r="B88" s="54" t="s">
        <v>755</v>
      </c>
      <c r="C88" s="54">
        <f t="shared" si="5"/>
        <v>100000</v>
      </c>
      <c r="D88" s="54"/>
      <c r="E88" s="55" t="s">
        <v>178</v>
      </c>
      <c r="F88" s="53">
        <v>100</v>
      </c>
    </row>
    <row r="89" spans="1:6">
      <c r="A89" s="54" t="s">
        <v>765</v>
      </c>
      <c r="B89" s="54" t="s">
        <v>766</v>
      </c>
      <c r="C89" s="54">
        <f t="shared" si="5"/>
        <v>10000000</v>
      </c>
      <c r="D89" s="54"/>
      <c r="E89" s="55" t="s">
        <v>197</v>
      </c>
      <c r="F89" s="53">
        <v>200</v>
      </c>
    </row>
    <row r="90" spans="1:6">
      <c r="A90" s="54" t="s">
        <v>767</v>
      </c>
      <c r="B90" s="54" t="s">
        <v>768</v>
      </c>
      <c r="C90" s="54">
        <f t="shared" si="5"/>
        <v>10000</v>
      </c>
      <c r="D90" s="54"/>
      <c r="E90" s="55" t="s">
        <v>179</v>
      </c>
      <c r="F90" s="53">
        <v>200</v>
      </c>
    </row>
    <row r="91" spans="1:6">
      <c r="A91" s="54" t="s">
        <v>769</v>
      </c>
      <c r="B91" s="54" t="s">
        <v>770</v>
      </c>
      <c r="C91" s="54">
        <f t="shared" si="5"/>
        <v>1000000</v>
      </c>
      <c r="D91" s="54"/>
      <c r="E91" s="55" t="s">
        <v>179</v>
      </c>
      <c r="F91" s="53">
        <v>225</v>
      </c>
    </row>
    <row r="92" spans="1:6">
      <c r="A92" s="19" t="s">
        <v>836</v>
      </c>
      <c r="B92" s="19" t="s">
        <v>837</v>
      </c>
      <c r="C92" s="19">
        <f t="shared" si="5"/>
        <v>2200000</v>
      </c>
      <c r="E92" s="22" t="s">
        <v>197</v>
      </c>
      <c r="F92" s="56">
        <v>1000</v>
      </c>
    </row>
    <row r="93" spans="1:6">
      <c r="A93" s="19" t="s">
        <v>838</v>
      </c>
      <c r="B93" s="19" t="s">
        <v>837</v>
      </c>
      <c r="C93" s="19">
        <f t="shared" si="5"/>
        <v>2200000</v>
      </c>
      <c r="E93" s="22" t="s">
        <v>197</v>
      </c>
      <c r="F93" s="56">
        <v>1000</v>
      </c>
    </row>
    <row r="94" spans="1:6">
      <c r="A94" s="19" t="s">
        <v>839</v>
      </c>
      <c r="B94" s="19" t="s">
        <v>840</v>
      </c>
      <c r="C94" s="19">
        <f t="shared" si="5"/>
        <v>1000000</v>
      </c>
      <c r="E94" s="22" t="s">
        <v>197</v>
      </c>
      <c r="F94" s="56">
        <v>1000</v>
      </c>
    </row>
    <row r="95" spans="1:6">
      <c r="A95" s="19" t="s">
        <v>841</v>
      </c>
      <c r="B95" s="19" t="s">
        <v>842</v>
      </c>
      <c r="C95" s="19">
        <f t="shared" si="5"/>
        <v>27</v>
      </c>
      <c r="E95" s="22" t="s">
        <v>197</v>
      </c>
      <c r="F95" s="56">
        <v>4000</v>
      </c>
    </row>
    <row r="96" spans="1:6">
      <c r="A96" s="19" t="s">
        <v>843</v>
      </c>
      <c r="B96" s="19" t="s">
        <v>844</v>
      </c>
      <c r="C96" s="19">
        <f t="shared" si="5"/>
        <v>10000</v>
      </c>
      <c r="E96" s="22" t="s">
        <v>197</v>
      </c>
      <c r="F96" s="56">
        <v>5000</v>
      </c>
    </row>
    <row r="97" spans="1:6">
      <c r="A97" s="19" t="s">
        <v>845</v>
      </c>
      <c r="B97" s="19" t="s">
        <v>846</v>
      </c>
      <c r="C97" s="19">
        <f t="shared" si="5"/>
        <v>100000</v>
      </c>
      <c r="E97" s="22" t="s">
        <v>197</v>
      </c>
      <c r="F97" s="56">
        <v>4000</v>
      </c>
    </row>
    <row r="98" spans="1:6">
      <c r="A98" s="19" t="s">
        <v>876</v>
      </c>
      <c r="B98" s="19" t="s">
        <v>364</v>
      </c>
      <c r="C98" s="19">
        <f t="shared" si="5"/>
        <v>10</v>
      </c>
      <c r="E98" s="22" t="s">
        <v>179</v>
      </c>
      <c r="F98" s="56">
        <v>5000</v>
      </c>
    </row>
    <row r="99" spans="1:6">
      <c r="A99" s="19" t="s">
        <v>877</v>
      </c>
      <c r="B99" s="19" t="s">
        <v>364</v>
      </c>
      <c r="C99" s="19">
        <f t="shared" si="5"/>
        <v>10</v>
      </c>
      <c r="E99" s="22" t="s">
        <v>179</v>
      </c>
      <c r="F99" s="56">
        <v>5000</v>
      </c>
    </row>
    <row r="100" spans="1:6">
      <c r="A100" s="19" t="s">
        <v>878</v>
      </c>
      <c r="B100" s="19" t="s">
        <v>364</v>
      </c>
      <c r="C100" s="19">
        <f t="shared" si="5"/>
        <v>10</v>
      </c>
      <c r="E100" s="22" t="s">
        <v>179</v>
      </c>
      <c r="F100" s="56">
        <v>3000</v>
      </c>
    </row>
    <row r="101" spans="1:6">
      <c r="A101" s="19" t="s">
        <v>879</v>
      </c>
      <c r="B101" s="19" t="s">
        <v>364</v>
      </c>
      <c r="C101" s="19">
        <f t="shared" si="5"/>
        <v>10</v>
      </c>
      <c r="E101" s="22" t="s">
        <v>179</v>
      </c>
      <c r="F101" s="56">
        <v>5000</v>
      </c>
    </row>
    <row r="102" spans="1:6">
      <c r="A102" s="19" t="s">
        <v>880</v>
      </c>
      <c r="B102" s="19" t="s">
        <v>881</v>
      </c>
      <c r="C102" s="19">
        <f t="shared" si="5"/>
        <v>15</v>
      </c>
      <c r="E102" s="22" t="s">
        <v>179</v>
      </c>
      <c r="F102" s="56">
        <v>1000</v>
      </c>
    </row>
    <row r="103" spans="1:6">
      <c r="A103" s="19" t="s">
        <v>880</v>
      </c>
      <c r="B103" s="19" t="s">
        <v>881</v>
      </c>
      <c r="C103" s="19">
        <f t="shared" si="5"/>
        <v>15</v>
      </c>
      <c r="E103" s="22" t="s">
        <v>179</v>
      </c>
      <c r="F103" s="56">
        <v>300</v>
      </c>
    </row>
    <row r="104" spans="1:6">
      <c r="A104" s="19" t="s">
        <v>882</v>
      </c>
      <c r="B104" s="19" t="s">
        <v>199</v>
      </c>
      <c r="C104" s="19">
        <f t="shared" si="5"/>
        <v>22</v>
      </c>
      <c r="E104" s="22" t="s">
        <v>179</v>
      </c>
      <c r="F104" s="56">
        <v>3000</v>
      </c>
    </row>
    <row r="105" spans="1:6">
      <c r="A105" s="19" t="s">
        <v>883</v>
      </c>
      <c r="B105" s="19" t="s">
        <v>884</v>
      </c>
      <c r="C105" s="19">
        <f t="shared" si="5"/>
        <v>39</v>
      </c>
      <c r="E105" s="22" t="s">
        <v>179</v>
      </c>
      <c r="F105" s="56">
        <v>500</v>
      </c>
    </row>
    <row r="106" spans="1:6">
      <c r="A106" s="19" t="s">
        <v>885</v>
      </c>
      <c r="B106" s="19" t="s">
        <v>884</v>
      </c>
      <c r="C106" s="19">
        <f t="shared" si="5"/>
        <v>39</v>
      </c>
      <c r="E106" s="22" t="s">
        <v>179</v>
      </c>
      <c r="F106" s="56">
        <v>100</v>
      </c>
    </row>
    <row r="107" spans="1:6">
      <c r="E107" s="22"/>
    </row>
    <row r="108" spans="1:6">
      <c r="E108" s="22"/>
    </row>
    <row r="109" spans="1:6">
      <c r="E109" s="2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9DCD-FCD7-43B7-9879-8C62D3BF238B}">
  <dimension ref="A1:E43"/>
  <sheetViews>
    <sheetView topLeftCell="A22" workbookViewId="0">
      <selection activeCell="H36" sqref="H36"/>
    </sheetView>
  </sheetViews>
  <sheetFormatPr defaultRowHeight="13.8"/>
  <cols>
    <col min="1" max="1" width="28.8984375" customWidth="1"/>
    <col min="2" max="2" width="17.8984375" customWidth="1"/>
    <col min="3" max="3" width="14.8984375" customWidth="1"/>
    <col min="4" max="4" width="36.59765625" customWidth="1"/>
  </cols>
  <sheetData>
    <row r="1" spans="1:4">
      <c r="A1" s="45" t="s">
        <v>493</v>
      </c>
      <c r="B1" s="45"/>
      <c r="C1" s="45"/>
      <c r="D1" s="45"/>
    </row>
    <row r="2" spans="1:4">
      <c r="A2" s="26" t="s">
        <v>173</v>
      </c>
      <c r="B2" s="26" t="s">
        <v>219</v>
      </c>
      <c r="C2" s="26" t="s">
        <v>510</v>
      </c>
      <c r="D2" s="28" t="s">
        <v>175</v>
      </c>
    </row>
    <row r="3" spans="1:4">
      <c r="A3" s="3"/>
      <c r="B3" s="3" t="s">
        <v>220</v>
      </c>
      <c r="C3" s="3"/>
      <c r="D3" s="3" t="s">
        <v>179</v>
      </c>
    </row>
    <row r="4" spans="1:4">
      <c r="A4" s="3"/>
      <c r="B4" s="3" t="s">
        <v>221</v>
      </c>
      <c r="C4" s="3"/>
      <c r="D4" s="3" t="s">
        <v>179</v>
      </c>
    </row>
    <row r="5" spans="1:4">
      <c r="A5" s="3" t="s">
        <v>494</v>
      </c>
      <c r="B5" s="29" t="s">
        <v>495</v>
      </c>
      <c r="C5" s="3"/>
      <c r="D5" s="3" t="s">
        <v>179</v>
      </c>
    </row>
    <row r="6" spans="1:4">
      <c r="A6" s="7" t="s">
        <v>496</v>
      </c>
      <c r="B6" s="29" t="s">
        <v>497</v>
      </c>
      <c r="C6" s="3"/>
      <c r="D6" s="26"/>
    </row>
    <row r="7" spans="1:4">
      <c r="A7" s="26" t="s">
        <v>499</v>
      </c>
      <c r="B7" s="30" t="s">
        <v>500</v>
      </c>
      <c r="C7" s="26"/>
      <c r="D7" s="26"/>
    </row>
    <row r="8" spans="1:4">
      <c r="A8" s="3" t="s">
        <v>501</v>
      </c>
      <c r="B8" s="29" t="s">
        <v>502</v>
      </c>
      <c r="C8" s="3"/>
      <c r="D8" s="26"/>
    </row>
    <row r="9" spans="1:4">
      <c r="A9" s="3" t="s">
        <v>503</v>
      </c>
      <c r="B9" s="29" t="s">
        <v>504</v>
      </c>
      <c r="C9" s="3"/>
      <c r="D9" s="26"/>
    </row>
    <row r="10" spans="1:4">
      <c r="A10" s="3" t="s">
        <v>505</v>
      </c>
      <c r="B10" s="29" t="s">
        <v>506</v>
      </c>
      <c r="C10" s="3"/>
      <c r="D10" s="26"/>
    </row>
    <row r="11" spans="1:4">
      <c r="A11" s="4" t="s">
        <v>507</v>
      </c>
      <c r="B11" s="16" t="s">
        <v>508</v>
      </c>
      <c r="C11" s="26"/>
      <c r="D11" s="26"/>
    </row>
    <row r="12" spans="1:4">
      <c r="A12" s="26" t="s">
        <v>509</v>
      </c>
      <c r="B12" s="30" t="s">
        <v>502</v>
      </c>
      <c r="C12" s="30" t="s">
        <v>511</v>
      </c>
      <c r="D12" s="26"/>
    </row>
    <row r="13" spans="1:4">
      <c r="A13" s="4" t="s">
        <v>512</v>
      </c>
      <c r="B13" s="16" t="s">
        <v>513</v>
      </c>
      <c r="C13" s="16" t="s">
        <v>514</v>
      </c>
      <c r="D13" s="26"/>
    </row>
    <row r="14" spans="1:4">
      <c r="A14" s="3" t="s">
        <v>515</v>
      </c>
      <c r="B14" s="3" t="s">
        <v>516</v>
      </c>
      <c r="C14" s="3" t="s">
        <v>517</v>
      </c>
      <c r="D14" s="26"/>
    </row>
    <row r="15" spans="1:4">
      <c r="A15" s="26" t="s">
        <v>494</v>
      </c>
      <c r="B15" s="26" t="s">
        <v>518</v>
      </c>
      <c r="C15" s="26" t="s">
        <v>514</v>
      </c>
      <c r="D15" s="26"/>
    </row>
    <row r="16" spans="1:4">
      <c r="A16" s="29" t="s">
        <v>520</v>
      </c>
      <c r="B16" s="29" t="s">
        <v>521</v>
      </c>
      <c r="C16" s="29" t="s">
        <v>522</v>
      </c>
      <c r="D16" s="3" t="s">
        <v>179</v>
      </c>
    </row>
    <row r="17" spans="1:5">
      <c r="A17" s="3" t="s">
        <v>523</v>
      </c>
      <c r="B17" s="29" t="s">
        <v>524</v>
      </c>
      <c r="C17" s="29" t="s">
        <v>525</v>
      </c>
      <c r="D17" s="3" t="s">
        <v>179</v>
      </c>
    </row>
    <row r="18" spans="1:5">
      <c r="A18" s="3" t="s">
        <v>526</v>
      </c>
      <c r="B18" s="29" t="s">
        <v>527</v>
      </c>
      <c r="C18" s="29" t="s">
        <v>514</v>
      </c>
      <c r="D18" s="26"/>
    </row>
    <row r="19" spans="1:5">
      <c r="A19" s="3" t="s">
        <v>528</v>
      </c>
      <c r="B19" s="29" t="s">
        <v>529</v>
      </c>
      <c r="C19" s="29" t="s">
        <v>530</v>
      </c>
      <c r="D19" s="26"/>
    </row>
    <row r="20" spans="1:5">
      <c r="A20" s="3" t="s">
        <v>494</v>
      </c>
      <c r="B20" s="29" t="s">
        <v>518</v>
      </c>
      <c r="C20" s="29" t="s">
        <v>531</v>
      </c>
      <c r="D20" s="26"/>
    </row>
    <row r="21" spans="1:5">
      <c r="A21" s="7" t="s">
        <v>532</v>
      </c>
      <c r="B21" s="3"/>
      <c r="C21" s="3"/>
      <c r="D21" s="26"/>
    </row>
    <row r="22" spans="1:5">
      <c r="A22" s="3" t="s">
        <v>534</v>
      </c>
      <c r="B22" s="3" t="s">
        <v>506</v>
      </c>
      <c r="C22" s="3" t="s">
        <v>535</v>
      </c>
      <c r="D22" s="26"/>
    </row>
    <row r="23" spans="1:5">
      <c r="A23" s="3" t="s">
        <v>536</v>
      </c>
      <c r="B23" s="3" t="s">
        <v>537</v>
      </c>
      <c r="C23" s="3" t="s">
        <v>538</v>
      </c>
      <c r="D23" s="3" t="s">
        <v>179</v>
      </c>
    </row>
    <row r="24" spans="1:5">
      <c r="A24" s="3" t="s">
        <v>774</v>
      </c>
      <c r="B24" s="40" t="s">
        <v>775</v>
      </c>
      <c r="C24" s="3">
        <v>0.7</v>
      </c>
      <c r="D24" s="41" t="s">
        <v>795</v>
      </c>
      <c r="E24" s="40"/>
    </row>
    <row r="25" spans="1:5">
      <c r="A25" s="7" t="s">
        <v>545</v>
      </c>
      <c r="B25" s="40" t="s">
        <v>775</v>
      </c>
      <c r="C25" s="3">
        <v>1.4</v>
      </c>
      <c r="D25" s="41" t="s">
        <v>795</v>
      </c>
      <c r="E25" s="40"/>
    </row>
    <row r="26" spans="1:5">
      <c r="A26" s="26" t="s">
        <v>546</v>
      </c>
      <c r="B26" s="40" t="s">
        <v>776</v>
      </c>
      <c r="C26" s="26">
        <v>0.6</v>
      </c>
      <c r="D26" s="41" t="s">
        <v>795</v>
      </c>
      <c r="E26" s="40"/>
    </row>
    <row r="27" spans="1:5">
      <c r="A27" s="3" t="s">
        <v>547</v>
      </c>
      <c r="B27" s="40" t="s">
        <v>777</v>
      </c>
      <c r="C27" s="3">
        <v>0.4</v>
      </c>
      <c r="D27" s="41" t="s">
        <v>795</v>
      </c>
      <c r="E27" s="40"/>
    </row>
    <row r="28" spans="1:5">
      <c r="A28" s="3" t="s">
        <v>548</v>
      </c>
      <c r="B28" s="40" t="s">
        <v>778</v>
      </c>
      <c r="C28" s="3">
        <v>0.34</v>
      </c>
      <c r="D28" s="41" t="s">
        <v>795</v>
      </c>
      <c r="E28" s="40"/>
    </row>
    <row r="29" spans="1:5">
      <c r="A29" s="3" t="s">
        <v>549</v>
      </c>
      <c r="B29" s="40" t="s">
        <v>779</v>
      </c>
      <c r="C29" s="3">
        <v>0.08</v>
      </c>
      <c r="D29" s="41" t="s">
        <v>796</v>
      </c>
      <c r="E29" s="40"/>
    </row>
    <row r="30" spans="1:5">
      <c r="A30" s="4" t="s">
        <v>550</v>
      </c>
      <c r="B30" s="40" t="s">
        <v>780</v>
      </c>
      <c r="C30" s="26">
        <v>0.2</v>
      </c>
      <c r="D30" s="41" t="s">
        <v>796</v>
      </c>
      <c r="E30" s="40"/>
    </row>
    <row r="31" spans="1:5">
      <c r="A31" s="26" t="s">
        <v>551</v>
      </c>
      <c r="B31" s="40" t="s">
        <v>781</v>
      </c>
      <c r="C31" s="26">
        <v>0.36</v>
      </c>
      <c r="D31" s="41" t="s">
        <v>797</v>
      </c>
      <c r="E31" s="40"/>
    </row>
    <row r="32" spans="1:5">
      <c r="A32" s="4" t="s">
        <v>552</v>
      </c>
      <c r="B32" s="40" t="s">
        <v>782</v>
      </c>
      <c r="C32" s="26">
        <v>0.22</v>
      </c>
      <c r="D32" s="41" t="s">
        <v>795</v>
      </c>
      <c r="E32" s="40"/>
    </row>
    <row r="33" spans="1:5">
      <c r="A33" s="3" t="s">
        <v>553</v>
      </c>
      <c r="B33" s="40" t="s">
        <v>783</v>
      </c>
      <c r="C33" s="3">
        <v>0.38</v>
      </c>
      <c r="D33" s="41" t="s">
        <v>795</v>
      </c>
      <c r="E33" s="40"/>
    </row>
    <row r="34" spans="1:5">
      <c r="A34" s="26" t="s">
        <v>554</v>
      </c>
      <c r="B34" s="40" t="s">
        <v>784</v>
      </c>
      <c r="C34" s="26">
        <v>0.8</v>
      </c>
      <c r="D34" s="41" t="s">
        <v>797</v>
      </c>
      <c r="E34" s="40"/>
    </row>
    <row r="35" spans="1:5">
      <c r="A35" s="3" t="s">
        <v>555</v>
      </c>
      <c r="B35" s="40" t="s">
        <v>780</v>
      </c>
      <c r="C35" s="3"/>
      <c r="D35" s="41" t="s">
        <v>795</v>
      </c>
      <c r="E35" s="40"/>
    </row>
    <row r="36" spans="1:5">
      <c r="A36" s="3" t="s">
        <v>556</v>
      </c>
      <c r="B36" s="40" t="s">
        <v>785</v>
      </c>
      <c r="C36" s="3">
        <v>0.42</v>
      </c>
      <c r="D36" s="41" t="s">
        <v>795</v>
      </c>
      <c r="E36" s="40"/>
    </row>
    <row r="37" spans="1:5">
      <c r="A37" s="3" t="s">
        <v>557</v>
      </c>
      <c r="B37" s="40" t="s">
        <v>786</v>
      </c>
      <c r="C37" s="3">
        <v>0.65</v>
      </c>
      <c r="D37" s="41" t="s">
        <v>795</v>
      </c>
      <c r="E37" s="40"/>
    </row>
    <row r="38" spans="1:5">
      <c r="A38" s="3" t="s">
        <v>791</v>
      </c>
      <c r="B38" s="2" t="s">
        <v>787</v>
      </c>
      <c r="C38" s="3">
        <v>1.5</v>
      </c>
      <c r="D38" s="41" t="s">
        <v>799</v>
      </c>
      <c r="E38" s="2"/>
    </row>
    <row r="39" spans="1:5">
      <c r="A39" s="7" t="s">
        <v>558</v>
      </c>
      <c r="B39" s="40" t="s">
        <v>788</v>
      </c>
      <c r="C39" s="3">
        <v>0.3</v>
      </c>
      <c r="D39" s="41" t="s">
        <v>798</v>
      </c>
      <c r="E39" s="40"/>
    </row>
    <row r="40" spans="1:5">
      <c r="A40" s="3" t="s">
        <v>559</v>
      </c>
      <c r="B40" s="40" t="s">
        <v>789</v>
      </c>
      <c r="C40" s="3">
        <v>0.3</v>
      </c>
      <c r="D40" s="41" t="s">
        <v>798</v>
      </c>
      <c r="E40" s="40"/>
    </row>
    <row r="41" spans="1:5">
      <c r="A41" s="3" t="s">
        <v>560</v>
      </c>
      <c r="B41" s="40" t="s">
        <v>790</v>
      </c>
      <c r="C41" s="3">
        <v>0.4</v>
      </c>
      <c r="D41" s="41" t="s">
        <v>800</v>
      </c>
      <c r="E41" s="40"/>
    </row>
    <row r="42" spans="1:5">
      <c r="A42" s="3" t="s">
        <v>792</v>
      </c>
      <c r="B42" s="40" t="s">
        <v>793</v>
      </c>
      <c r="C42" s="3" t="s">
        <v>794</v>
      </c>
      <c r="D42" s="41" t="s">
        <v>801</v>
      </c>
      <c r="E42" s="40"/>
    </row>
    <row r="43" spans="1:5">
      <c r="A43" s="26"/>
      <c r="B43" s="26"/>
      <c r="C43" s="26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6564-447C-4AC0-9A0C-F03B4328A463}">
  <dimension ref="A1:B76"/>
  <sheetViews>
    <sheetView topLeftCell="A43" workbookViewId="0">
      <selection activeCell="G65" sqref="G65"/>
    </sheetView>
  </sheetViews>
  <sheetFormatPr defaultRowHeight="13.8"/>
  <cols>
    <col min="1" max="1" width="16.796875" customWidth="1"/>
  </cols>
  <sheetData>
    <row r="1" spans="1:2">
      <c r="A1" s="13" t="s">
        <v>59</v>
      </c>
      <c r="B1" s="13" t="s">
        <v>677</v>
      </c>
    </row>
    <row r="2" spans="1:2">
      <c r="A2" t="s">
        <v>60</v>
      </c>
    </row>
    <row r="3" spans="1:2">
      <c r="A3" t="s">
        <v>61</v>
      </c>
    </row>
    <row r="4" spans="1:2">
      <c r="A4" t="s">
        <v>623</v>
      </c>
      <c r="B4">
        <v>15</v>
      </c>
    </row>
    <row r="5" spans="1:2">
      <c r="A5" t="s">
        <v>676</v>
      </c>
      <c r="B5">
        <v>10</v>
      </c>
    </row>
    <row r="6" spans="1:2">
      <c r="A6" t="s">
        <v>678</v>
      </c>
      <c r="B6">
        <v>6</v>
      </c>
    </row>
    <row r="7" spans="1:2">
      <c r="A7" t="s">
        <v>679</v>
      </c>
      <c r="B7" t="s">
        <v>690</v>
      </c>
    </row>
    <row r="8" spans="1:2">
      <c r="A8" t="s">
        <v>680</v>
      </c>
      <c r="B8" t="s">
        <v>685</v>
      </c>
    </row>
    <row r="9" spans="1:2">
      <c r="A9" t="s">
        <v>681</v>
      </c>
      <c r="B9">
        <v>3</v>
      </c>
    </row>
    <row r="10" spans="1:2">
      <c r="A10" t="s">
        <v>682</v>
      </c>
      <c r="B10">
        <v>14</v>
      </c>
    </row>
    <row r="11" spans="1:2">
      <c r="A11" t="s">
        <v>683</v>
      </c>
      <c r="B11">
        <v>10</v>
      </c>
    </row>
    <row r="12" spans="1:2">
      <c r="A12" t="s">
        <v>676</v>
      </c>
      <c r="B12">
        <v>12</v>
      </c>
    </row>
    <row r="13" spans="1:2">
      <c r="A13" t="s">
        <v>684</v>
      </c>
      <c r="B13">
        <v>100</v>
      </c>
    </row>
    <row r="14" spans="1:2">
      <c r="A14" t="s">
        <v>684</v>
      </c>
      <c r="B14">
        <v>20</v>
      </c>
    </row>
    <row r="15" spans="1:2">
      <c r="A15" t="s">
        <v>686</v>
      </c>
      <c r="B15">
        <v>4</v>
      </c>
    </row>
    <row r="16" spans="1:2">
      <c r="A16" t="s">
        <v>687</v>
      </c>
      <c r="B16">
        <v>10</v>
      </c>
    </row>
    <row r="17" spans="1:2">
      <c r="A17" t="s">
        <v>688</v>
      </c>
      <c r="B17">
        <v>12</v>
      </c>
    </row>
    <row r="18" spans="1:2">
      <c r="A18" t="s">
        <v>689</v>
      </c>
      <c r="B18">
        <v>8</v>
      </c>
    </row>
    <row r="19" spans="1:2">
      <c r="A19" t="s">
        <v>688</v>
      </c>
      <c r="B19">
        <v>30</v>
      </c>
    </row>
    <row r="20" spans="1:2">
      <c r="A20" t="s">
        <v>691</v>
      </c>
      <c r="B20">
        <v>15</v>
      </c>
    </row>
    <row r="21" spans="1:2">
      <c r="A21" t="s">
        <v>692</v>
      </c>
      <c r="B21">
        <v>36</v>
      </c>
    </row>
    <row r="22" spans="1:2">
      <c r="A22" t="s">
        <v>693</v>
      </c>
      <c r="B22">
        <v>8</v>
      </c>
    </row>
    <row r="23" spans="1:2">
      <c r="A23" t="s">
        <v>694</v>
      </c>
      <c r="B23">
        <v>8</v>
      </c>
    </row>
    <row r="24" spans="1:2">
      <c r="A24" t="s">
        <v>678</v>
      </c>
      <c r="B24">
        <v>9</v>
      </c>
    </row>
    <row r="25" spans="1:2">
      <c r="A25" t="s">
        <v>676</v>
      </c>
      <c r="B25">
        <v>20</v>
      </c>
    </row>
    <row r="26" spans="1:2">
      <c r="A26" t="s">
        <v>686</v>
      </c>
      <c r="B26">
        <v>6</v>
      </c>
    </row>
    <row r="27" spans="1:2">
      <c r="A27" t="s">
        <v>694</v>
      </c>
      <c r="B27">
        <v>4</v>
      </c>
    </row>
    <row r="28" spans="1:2">
      <c r="A28" t="s">
        <v>681</v>
      </c>
      <c r="B28">
        <v>20</v>
      </c>
    </row>
    <row r="29" spans="1:2">
      <c r="A29" t="s">
        <v>695</v>
      </c>
      <c r="B29">
        <v>8</v>
      </c>
    </row>
    <row r="30" spans="1:2">
      <c r="A30" t="s">
        <v>678</v>
      </c>
      <c r="B30">
        <v>20</v>
      </c>
    </row>
    <row r="31" spans="1:2">
      <c r="A31" t="s">
        <v>696</v>
      </c>
      <c r="B31">
        <v>7</v>
      </c>
    </row>
    <row r="32" spans="1:2">
      <c r="A32" t="s">
        <v>697</v>
      </c>
      <c r="B32">
        <v>20</v>
      </c>
    </row>
    <row r="33" spans="1:2">
      <c r="A33" t="s">
        <v>698</v>
      </c>
      <c r="B33">
        <v>20</v>
      </c>
    </row>
    <row r="34" spans="1:2">
      <c r="A34" t="s">
        <v>699</v>
      </c>
      <c r="B34">
        <v>15</v>
      </c>
    </row>
    <row r="35" spans="1:2">
      <c r="A35" t="s">
        <v>700</v>
      </c>
      <c r="B35">
        <v>8</v>
      </c>
    </row>
    <row r="36" spans="1:2">
      <c r="A36" t="s">
        <v>701</v>
      </c>
      <c r="B36">
        <v>100</v>
      </c>
    </row>
    <row r="37" spans="1:2">
      <c r="A37" t="s">
        <v>697</v>
      </c>
      <c r="B37">
        <v>10</v>
      </c>
    </row>
    <row r="38" spans="1:2">
      <c r="A38" t="s">
        <v>704</v>
      </c>
      <c r="B38" t="s">
        <v>711</v>
      </c>
    </row>
    <row r="39" spans="1:2">
      <c r="A39" t="s">
        <v>705</v>
      </c>
      <c r="B39">
        <v>9</v>
      </c>
    </row>
    <row r="40" spans="1:2">
      <c r="A40" t="s">
        <v>706</v>
      </c>
      <c r="B40">
        <v>200</v>
      </c>
    </row>
    <row r="41" spans="1:2">
      <c r="A41" t="s">
        <v>707</v>
      </c>
      <c r="B41">
        <v>7</v>
      </c>
    </row>
    <row r="42" spans="1:2">
      <c r="A42" t="s">
        <v>708</v>
      </c>
      <c r="B42" t="s">
        <v>710</v>
      </c>
    </row>
    <row r="43" spans="1:2">
      <c r="A43" t="s">
        <v>709</v>
      </c>
      <c r="B43">
        <v>7</v>
      </c>
    </row>
    <row r="44" spans="1:2">
      <c r="A44" t="s">
        <v>707</v>
      </c>
      <c r="B44">
        <v>10</v>
      </c>
    </row>
    <row r="45" spans="1:2">
      <c r="A45" t="s">
        <v>712</v>
      </c>
      <c r="B45">
        <v>30</v>
      </c>
    </row>
    <row r="46" spans="1:2">
      <c r="A46" s="37" t="s">
        <v>717</v>
      </c>
      <c r="B46" s="37">
        <v>45</v>
      </c>
    </row>
    <row r="47" spans="1:2">
      <c r="A47" s="37" t="s">
        <v>718</v>
      </c>
      <c r="B47" s="37">
        <v>6</v>
      </c>
    </row>
    <row r="48" spans="1:2">
      <c r="A48" s="37" t="s">
        <v>719</v>
      </c>
      <c r="B48" s="37">
        <v>44</v>
      </c>
    </row>
    <row r="49" spans="1:2">
      <c r="A49" s="37" t="s">
        <v>720</v>
      </c>
      <c r="B49" s="37">
        <v>45</v>
      </c>
    </row>
    <row r="50" spans="1:2">
      <c r="A50" s="37" t="s">
        <v>721</v>
      </c>
      <c r="B50" s="37">
        <v>118</v>
      </c>
    </row>
    <row r="51" spans="1:2">
      <c r="A51" s="37" t="s">
        <v>722</v>
      </c>
      <c r="B51" s="37">
        <v>7</v>
      </c>
    </row>
    <row r="52" spans="1:2">
      <c r="A52" s="37" t="s">
        <v>723</v>
      </c>
      <c r="B52" s="37">
        <v>100</v>
      </c>
    </row>
    <row r="53" spans="1:2">
      <c r="A53" s="37" t="s">
        <v>724</v>
      </c>
      <c r="B53" s="37">
        <v>18</v>
      </c>
    </row>
    <row r="54" spans="1:2">
      <c r="A54" s="37" t="s">
        <v>725</v>
      </c>
      <c r="B54" s="37">
        <v>32</v>
      </c>
    </row>
    <row r="55" spans="1:2">
      <c r="A55" s="37" t="s">
        <v>726</v>
      </c>
      <c r="B55" s="37">
        <v>22</v>
      </c>
    </row>
    <row r="56" spans="1:2">
      <c r="A56" s="37" t="s">
        <v>727</v>
      </c>
      <c r="B56" s="37">
        <v>18</v>
      </c>
    </row>
    <row r="57" spans="1:2">
      <c r="A57" s="37" t="s">
        <v>728</v>
      </c>
      <c r="B57" s="37">
        <v>18</v>
      </c>
    </row>
    <row r="58" spans="1:2">
      <c r="A58" s="37" t="s">
        <v>729</v>
      </c>
      <c r="B58" s="37">
        <v>7</v>
      </c>
    </row>
    <row r="59" spans="1:2">
      <c r="A59" s="37" t="s">
        <v>730</v>
      </c>
      <c r="B59" s="37">
        <v>13</v>
      </c>
    </row>
    <row r="60" spans="1:2">
      <c r="A60" s="37" t="s">
        <v>731</v>
      </c>
      <c r="B60" s="37">
        <v>17</v>
      </c>
    </row>
    <row r="61" spans="1:2">
      <c r="A61" s="37" t="s">
        <v>732</v>
      </c>
      <c r="B61" s="37">
        <v>20</v>
      </c>
    </row>
    <row r="62" spans="1:2">
      <c r="A62" s="37" t="s">
        <v>733</v>
      </c>
      <c r="B62" s="37">
        <v>8</v>
      </c>
    </row>
    <row r="63" spans="1:2">
      <c r="A63" s="37" t="s">
        <v>734</v>
      </c>
      <c r="B63" s="37">
        <v>2</v>
      </c>
    </row>
    <row r="64" spans="1:2">
      <c r="A64" s="37" t="s">
        <v>735</v>
      </c>
      <c r="B64" s="37">
        <v>30</v>
      </c>
    </row>
    <row r="65" spans="1:2">
      <c r="A65" s="37" t="s">
        <v>736</v>
      </c>
      <c r="B65" s="37">
        <v>18</v>
      </c>
    </row>
    <row r="66" spans="1:2">
      <c r="A66" s="37" t="s">
        <v>737</v>
      </c>
      <c r="B66" s="37">
        <v>78</v>
      </c>
    </row>
    <row r="67" spans="1:2">
      <c r="A67" s="37" t="s">
        <v>738</v>
      </c>
      <c r="B67" s="37">
        <v>10</v>
      </c>
    </row>
    <row r="68" spans="1:2">
      <c r="A68" s="37" t="s">
        <v>739</v>
      </c>
      <c r="B68" s="37">
        <v>12</v>
      </c>
    </row>
    <row r="69" spans="1:2">
      <c r="A69" s="37" t="s">
        <v>740</v>
      </c>
      <c r="B69" s="37">
        <v>14</v>
      </c>
    </row>
    <row r="70" spans="1:2">
      <c r="A70" s="37" t="s">
        <v>741</v>
      </c>
      <c r="B70" s="37">
        <v>1</v>
      </c>
    </row>
    <row r="71" spans="1:2">
      <c r="A71" s="37" t="s">
        <v>742</v>
      </c>
      <c r="B71" s="37">
        <v>47</v>
      </c>
    </row>
    <row r="72" spans="1:2">
      <c r="A72" s="37" t="s">
        <v>743</v>
      </c>
      <c r="B72" s="37">
        <v>25</v>
      </c>
    </row>
    <row r="73" spans="1:2">
      <c r="A73" s="37" t="s">
        <v>744</v>
      </c>
      <c r="B73" s="37">
        <v>21</v>
      </c>
    </row>
    <row r="74" spans="1:2">
      <c r="A74" s="37" t="s">
        <v>745</v>
      </c>
      <c r="B74" s="37">
        <v>7</v>
      </c>
    </row>
    <row r="75" spans="1:2">
      <c r="A75" s="37" t="s">
        <v>746</v>
      </c>
      <c r="B75" s="37">
        <v>31</v>
      </c>
    </row>
    <row r="76" spans="1:2">
      <c r="A76" s="37" t="s">
        <v>747</v>
      </c>
      <c r="B76" s="37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4CFE-179B-4419-8073-6DED6B7B165A}">
  <dimension ref="A1:C63"/>
  <sheetViews>
    <sheetView topLeftCell="A31" workbookViewId="0">
      <selection activeCell="G57" sqref="G57"/>
    </sheetView>
  </sheetViews>
  <sheetFormatPr defaultRowHeight="13.8"/>
  <cols>
    <col min="1" max="1" width="30.3984375" customWidth="1"/>
    <col min="2" max="2" width="19.09765625" style="35" customWidth="1"/>
    <col min="3" max="3" width="12.3984375" customWidth="1"/>
  </cols>
  <sheetData>
    <row r="1" spans="1:3">
      <c r="A1" s="11" t="s">
        <v>142</v>
      </c>
      <c r="B1" s="34" t="s">
        <v>603</v>
      </c>
      <c r="C1" s="11" t="s">
        <v>601</v>
      </c>
    </row>
    <row r="2" spans="1:3">
      <c r="A2" t="s">
        <v>143</v>
      </c>
      <c r="B2" s="35" t="s">
        <v>615</v>
      </c>
      <c r="C2" s="1" t="s">
        <v>641</v>
      </c>
    </row>
    <row r="3" spans="1:3">
      <c r="A3" t="s">
        <v>144</v>
      </c>
      <c r="B3" s="35" t="s">
        <v>640</v>
      </c>
      <c r="C3">
        <v>20</v>
      </c>
    </row>
    <row r="4" spans="1:3">
      <c r="A4" t="s">
        <v>145</v>
      </c>
      <c r="C4">
        <v>0</v>
      </c>
    </row>
    <row r="5" spans="1:3">
      <c r="A5" t="s">
        <v>146</v>
      </c>
      <c r="B5" s="35" t="s">
        <v>607</v>
      </c>
      <c r="C5">
        <v>9</v>
      </c>
    </row>
    <row r="6" spans="1:3">
      <c r="A6" t="s">
        <v>147</v>
      </c>
      <c r="C6">
        <v>30</v>
      </c>
    </row>
    <row r="7" spans="1:3">
      <c r="A7" t="s">
        <v>148</v>
      </c>
      <c r="B7" s="35" t="s">
        <v>605</v>
      </c>
      <c r="C7">
        <v>11</v>
      </c>
    </row>
    <row r="8" spans="1:3">
      <c r="A8" t="s">
        <v>149</v>
      </c>
      <c r="C8">
        <v>20</v>
      </c>
    </row>
    <row r="9" spans="1:3">
      <c r="A9" t="s">
        <v>150</v>
      </c>
      <c r="C9">
        <v>2</v>
      </c>
    </row>
    <row r="10" spans="1:3">
      <c r="A10" t="s">
        <v>151</v>
      </c>
      <c r="C10">
        <v>20</v>
      </c>
    </row>
    <row r="11" spans="1:3">
      <c r="A11" t="s">
        <v>152</v>
      </c>
      <c r="C11" s="1" t="s">
        <v>642</v>
      </c>
    </row>
    <row r="12" spans="1:3">
      <c r="A12" t="s">
        <v>153</v>
      </c>
      <c r="C12">
        <v>2</v>
      </c>
    </row>
    <row r="13" spans="1:3">
      <c r="A13" t="s">
        <v>154</v>
      </c>
      <c r="C13">
        <v>5</v>
      </c>
    </row>
    <row r="14" spans="1:3">
      <c r="A14" t="s">
        <v>157</v>
      </c>
      <c r="C14">
        <v>4</v>
      </c>
    </row>
    <row r="15" spans="1:3">
      <c r="A15" t="s">
        <v>155</v>
      </c>
      <c r="C15">
        <v>40</v>
      </c>
    </row>
    <row r="16" spans="1:3">
      <c r="A16" t="s">
        <v>156</v>
      </c>
      <c r="C16">
        <v>9</v>
      </c>
    </row>
    <row r="17" spans="1:3">
      <c r="A17" t="s">
        <v>602</v>
      </c>
      <c r="B17" s="35" t="s">
        <v>605</v>
      </c>
      <c r="C17">
        <v>8</v>
      </c>
    </row>
    <row r="18" spans="1:3">
      <c r="A18" t="s">
        <v>158</v>
      </c>
      <c r="C18">
        <v>43</v>
      </c>
    </row>
    <row r="19" spans="1:3">
      <c r="A19" t="s">
        <v>159</v>
      </c>
      <c r="C19">
        <v>1</v>
      </c>
    </row>
    <row r="20" spans="1:3">
      <c r="A20" t="s">
        <v>160</v>
      </c>
      <c r="C20">
        <v>1</v>
      </c>
    </row>
    <row r="21" spans="1:3">
      <c r="A21" t="s">
        <v>161</v>
      </c>
      <c r="C21">
        <v>3</v>
      </c>
    </row>
    <row r="22" spans="1:3">
      <c r="A22" t="s">
        <v>162</v>
      </c>
      <c r="C22">
        <v>1</v>
      </c>
    </row>
    <row r="23" spans="1:3">
      <c r="A23" t="s">
        <v>163</v>
      </c>
      <c r="C23">
        <v>5</v>
      </c>
    </row>
    <row r="24" spans="1:3">
      <c r="A24" t="s">
        <v>164</v>
      </c>
      <c r="C24">
        <v>0</v>
      </c>
    </row>
    <row r="25" spans="1:3">
      <c r="A25" t="s">
        <v>165</v>
      </c>
      <c r="C25">
        <v>5</v>
      </c>
    </row>
    <row r="26" spans="1:3">
      <c r="A26" t="s">
        <v>166</v>
      </c>
      <c r="C26">
        <v>4</v>
      </c>
    </row>
    <row r="27" spans="1:3">
      <c r="A27" t="s">
        <v>167</v>
      </c>
      <c r="C27">
        <v>2</v>
      </c>
    </row>
    <row r="28" spans="1:3">
      <c r="A28" t="s">
        <v>168</v>
      </c>
      <c r="C28">
        <v>3</v>
      </c>
    </row>
    <row r="29" spans="1:3">
      <c r="A29" t="s">
        <v>169</v>
      </c>
      <c r="C29">
        <v>18</v>
      </c>
    </row>
    <row r="30" spans="1:3">
      <c r="A30" t="s">
        <v>170</v>
      </c>
      <c r="C30">
        <v>4</v>
      </c>
    </row>
    <row r="31" spans="1:3">
      <c r="A31" t="s">
        <v>171</v>
      </c>
      <c r="C31">
        <v>10</v>
      </c>
    </row>
    <row r="32" spans="1:3">
      <c r="A32" t="s">
        <v>172</v>
      </c>
      <c r="C32">
        <v>2</v>
      </c>
    </row>
    <row r="33" spans="1:3">
      <c r="A33" t="s">
        <v>604</v>
      </c>
      <c r="B33" s="35" t="s">
        <v>605</v>
      </c>
      <c r="C33">
        <v>15</v>
      </c>
    </row>
    <row r="34" spans="1:3">
      <c r="A34" t="s">
        <v>606</v>
      </c>
      <c r="B34" s="35" t="s">
        <v>607</v>
      </c>
      <c r="C34">
        <v>3</v>
      </c>
    </row>
    <row r="35" spans="1:3">
      <c r="A35" t="s">
        <v>608</v>
      </c>
      <c r="B35" s="35" t="s">
        <v>605</v>
      </c>
      <c r="C35">
        <v>5</v>
      </c>
    </row>
    <row r="36" spans="1:3">
      <c r="A36" t="s">
        <v>609</v>
      </c>
      <c r="C36">
        <v>2</v>
      </c>
    </row>
    <row r="37" spans="1:3">
      <c r="A37" t="s">
        <v>610</v>
      </c>
      <c r="C37">
        <v>15</v>
      </c>
    </row>
    <row r="38" spans="1:3">
      <c r="A38" t="s">
        <v>616</v>
      </c>
      <c r="B38" s="35" t="s">
        <v>617</v>
      </c>
      <c r="C38">
        <v>11</v>
      </c>
    </row>
    <row r="39" spans="1:3">
      <c r="A39" t="s">
        <v>618</v>
      </c>
      <c r="B39" s="35" t="s">
        <v>617</v>
      </c>
      <c r="C39">
        <v>3</v>
      </c>
    </row>
    <row r="40" spans="1:3">
      <c r="A40" t="s">
        <v>654</v>
      </c>
      <c r="C40">
        <v>5</v>
      </c>
    </row>
    <row r="41" spans="1:3">
      <c r="A41" s="8" t="s">
        <v>655</v>
      </c>
      <c r="C41">
        <v>5</v>
      </c>
    </row>
    <row r="42" spans="1:3">
      <c r="A42" s="8" t="s">
        <v>656</v>
      </c>
      <c r="C42">
        <v>120</v>
      </c>
    </row>
    <row r="43" spans="1:3">
      <c r="A43" s="8" t="s">
        <v>657</v>
      </c>
      <c r="B43" s="33"/>
      <c r="C43" s="8">
        <v>41</v>
      </c>
    </row>
    <row r="44" spans="1:3">
      <c r="A44" s="8" t="s">
        <v>658</v>
      </c>
      <c r="B44" s="33"/>
      <c r="C44" s="8">
        <v>1</v>
      </c>
    </row>
    <row r="45" spans="1:3">
      <c r="A45" s="8" t="s">
        <v>659</v>
      </c>
      <c r="B45" s="33"/>
      <c r="C45" s="8">
        <v>4</v>
      </c>
    </row>
    <row r="46" spans="1:3">
      <c r="A46" s="8" t="s">
        <v>660</v>
      </c>
      <c r="B46" s="33"/>
      <c r="C46" s="8">
        <v>18</v>
      </c>
    </row>
    <row r="47" spans="1:3">
      <c r="A47" s="8" t="s">
        <v>661</v>
      </c>
      <c r="B47" s="33" t="s">
        <v>670</v>
      </c>
      <c r="C47" s="8">
        <v>115</v>
      </c>
    </row>
    <row r="48" spans="1:3">
      <c r="A48" s="8" t="s">
        <v>662</v>
      </c>
      <c r="B48" s="33"/>
      <c r="C48" s="8">
        <v>2</v>
      </c>
    </row>
    <row r="49" spans="1:3">
      <c r="A49" s="8" t="s">
        <v>663</v>
      </c>
      <c r="B49" s="33"/>
      <c r="C49" s="8">
        <v>20</v>
      </c>
    </row>
    <row r="50" spans="1:3">
      <c r="A50" s="8" t="s">
        <v>664</v>
      </c>
      <c r="B50" s="33"/>
      <c r="C50" s="8">
        <v>24</v>
      </c>
    </row>
    <row r="51" spans="1:3">
      <c r="A51" s="8" t="s">
        <v>665</v>
      </c>
      <c r="B51" s="33"/>
      <c r="C51" s="8">
        <v>15</v>
      </c>
    </row>
    <row r="52" spans="1:3">
      <c r="A52" s="8" t="s">
        <v>666</v>
      </c>
      <c r="B52" s="33"/>
      <c r="C52" s="8">
        <v>18</v>
      </c>
    </row>
    <row r="53" spans="1:3">
      <c r="A53" s="8" t="s">
        <v>667</v>
      </c>
      <c r="B53" s="33"/>
      <c r="C53" s="8">
        <v>20</v>
      </c>
    </row>
    <row r="54" spans="1:3">
      <c r="A54" s="8" t="s">
        <v>668</v>
      </c>
      <c r="B54" s="33"/>
      <c r="C54" s="8">
        <v>16</v>
      </c>
    </row>
    <row r="55" spans="1:3">
      <c r="A55" s="8" t="s">
        <v>669</v>
      </c>
      <c r="B55" s="33"/>
      <c r="C55" s="8">
        <v>10</v>
      </c>
    </row>
    <row r="56" spans="1:3">
      <c r="A56" s="8" t="s">
        <v>610</v>
      </c>
      <c r="C56" s="8">
        <v>50</v>
      </c>
    </row>
    <row r="57" spans="1:3">
      <c r="A57" s="33" t="s">
        <v>713</v>
      </c>
      <c r="C57" s="36" t="s">
        <v>714</v>
      </c>
    </row>
    <row r="58" spans="1:3">
      <c r="A58" s="33" t="s">
        <v>147</v>
      </c>
      <c r="C58" s="33">
        <v>3</v>
      </c>
    </row>
    <row r="59" spans="1:3">
      <c r="A59" s="33" t="s">
        <v>715</v>
      </c>
      <c r="C59" s="33">
        <v>10</v>
      </c>
    </row>
    <row r="60" spans="1:3">
      <c r="A60" s="33" t="s">
        <v>604</v>
      </c>
      <c r="C60" s="33">
        <v>20</v>
      </c>
    </row>
    <row r="61" spans="1:3">
      <c r="A61" s="33" t="s">
        <v>606</v>
      </c>
      <c r="C61" s="33">
        <v>3</v>
      </c>
    </row>
    <row r="62" spans="1:3">
      <c r="A62" s="33" t="s">
        <v>146</v>
      </c>
      <c r="C62" s="33">
        <v>15</v>
      </c>
    </row>
    <row r="63" spans="1:3">
      <c r="A63" s="33" t="s">
        <v>716</v>
      </c>
      <c r="C63" s="3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CDA1-5AE1-46DD-8299-631E93011E4D}">
  <dimension ref="A1:C30"/>
  <sheetViews>
    <sheetView topLeftCell="A4" workbookViewId="0">
      <selection activeCell="C2" sqref="C2"/>
    </sheetView>
  </sheetViews>
  <sheetFormatPr defaultRowHeight="13.8"/>
  <cols>
    <col min="1" max="1" width="24.19921875" customWidth="1"/>
    <col min="2" max="2" width="15.09765625" customWidth="1"/>
    <col min="3" max="3" width="16.59765625" customWidth="1"/>
  </cols>
  <sheetData>
    <row r="1" spans="1:3">
      <c r="A1" s="12" t="s">
        <v>37</v>
      </c>
      <c r="B1" s="12" t="s">
        <v>603</v>
      </c>
      <c r="C1" s="32" t="s">
        <v>671</v>
      </c>
    </row>
    <row r="2" spans="1:3">
      <c r="A2" t="s">
        <v>38</v>
      </c>
      <c r="C2">
        <v>5</v>
      </c>
    </row>
    <row r="3" spans="1:3">
      <c r="A3" t="s">
        <v>39</v>
      </c>
      <c r="C3">
        <v>5</v>
      </c>
    </row>
    <row r="4" spans="1:3">
      <c r="A4" t="s">
        <v>40</v>
      </c>
      <c r="C4">
        <v>5</v>
      </c>
    </row>
    <row r="5" spans="1:3">
      <c r="A5" t="s">
        <v>41</v>
      </c>
      <c r="C5">
        <v>5</v>
      </c>
    </row>
    <row r="6" spans="1:3">
      <c r="A6" t="s">
        <v>42</v>
      </c>
      <c r="C6">
        <v>5</v>
      </c>
    </row>
    <row r="7" spans="1:3">
      <c r="A7" t="s">
        <v>43</v>
      </c>
      <c r="C7">
        <v>5</v>
      </c>
    </row>
    <row r="8" spans="1:3">
      <c r="A8" t="s">
        <v>44</v>
      </c>
      <c r="C8">
        <v>5</v>
      </c>
    </row>
    <row r="9" spans="1:3">
      <c r="A9" t="s">
        <v>45</v>
      </c>
      <c r="C9">
        <v>5</v>
      </c>
    </row>
    <row r="10" spans="1:3">
      <c r="A10" t="s">
        <v>78</v>
      </c>
    </row>
    <row r="11" spans="1:3">
      <c r="A11" t="s">
        <v>614</v>
      </c>
      <c r="B11" t="s">
        <v>622</v>
      </c>
      <c r="C11">
        <v>30</v>
      </c>
    </row>
    <row r="12" spans="1:3">
      <c r="A12" t="s">
        <v>619</v>
      </c>
      <c r="B12" t="s">
        <v>622</v>
      </c>
      <c r="C12">
        <v>9</v>
      </c>
    </row>
    <row r="13" spans="1:3">
      <c r="A13" t="s">
        <v>620</v>
      </c>
      <c r="B13" t="s">
        <v>622</v>
      </c>
      <c r="C13">
        <v>15</v>
      </c>
    </row>
    <row r="14" spans="1:3">
      <c r="A14" t="s">
        <v>621</v>
      </c>
      <c r="B14" t="s">
        <v>622</v>
      </c>
      <c r="C14">
        <v>20</v>
      </c>
    </row>
    <row r="15" spans="1:3">
      <c r="A15" t="s">
        <v>624</v>
      </c>
      <c r="B15" t="s">
        <v>605</v>
      </c>
      <c r="C15">
        <v>7</v>
      </c>
    </row>
    <row r="16" spans="1:3">
      <c r="A16" t="s">
        <v>625</v>
      </c>
      <c r="B16" t="s">
        <v>605</v>
      </c>
      <c r="C16">
        <v>15</v>
      </c>
    </row>
    <row r="17" spans="1:3">
      <c r="A17" t="s">
        <v>625</v>
      </c>
      <c r="B17" t="s">
        <v>605</v>
      </c>
      <c r="C17">
        <v>15</v>
      </c>
    </row>
    <row r="18" spans="1:3">
      <c r="A18" t="s">
        <v>626</v>
      </c>
      <c r="B18" t="s">
        <v>622</v>
      </c>
      <c r="C18">
        <v>30</v>
      </c>
    </row>
    <row r="19" spans="1:3">
      <c r="A19" t="s">
        <v>629</v>
      </c>
      <c r="B19" t="s">
        <v>605</v>
      </c>
      <c r="C19">
        <v>15</v>
      </c>
    </row>
    <row r="20" spans="1:3">
      <c r="A20" t="s">
        <v>624</v>
      </c>
      <c r="B20" t="s">
        <v>605</v>
      </c>
      <c r="C20">
        <v>150</v>
      </c>
    </row>
    <row r="21" spans="1:3">
      <c r="A21" t="s">
        <v>630</v>
      </c>
      <c r="B21" t="s">
        <v>622</v>
      </c>
      <c r="C21">
        <v>10</v>
      </c>
    </row>
    <row r="22" spans="1:3">
      <c r="A22" t="s">
        <v>631</v>
      </c>
      <c r="C22">
        <v>2</v>
      </c>
    </row>
    <row r="23" spans="1:3">
      <c r="A23" t="s">
        <v>626</v>
      </c>
      <c r="B23" t="s">
        <v>605</v>
      </c>
      <c r="C23">
        <v>15</v>
      </c>
    </row>
    <row r="24" spans="1:3">
      <c r="A24" s="8" t="s">
        <v>644</v>
      </c>
      <c r="B24" s="8" t="s">
        <v>645</v>
      </c>
      <c r="C24" s="8">
        <v>3</v>
      </c>
    </row>
    <row r="25" spans="1:3">
      <c r="A25" s="8" t="s">
        <v>646</v>
      </c>
      <c r="B25" s="8" t="s">
        <v>645</v>
      </c>
      <c r="C25" s="8">
        <v>4</v>
      </c>
    </row>
    <row r="26" spans="1:3">
      <c r="A26" s="8" t="s">
        <v>647</v>
      </c>
      <c r="B26" s="8" t="s">
        <v>648</v>
      </c>
      <c r="C26" s="8">
        <v>54</v>
      </c>
    </row>
    <row r="27" spans="1:3">
      <c r="A27" s="8" t="s">
        <v>649</v>
      </c>
      <c r="B27" s="8" t="s">
        <v>645</v>
      </c>
      <c r="C27" s="8">
        <v>20</v>
      </c>
    </row>
    <row r="28" spans="1:3">
      <c r="A28" s="8" t="s">
        <v>650</v>
      </c>
      <c r="B28" s="8" t="s">
        <v>645</v>
      </c>
      <c r="C28" s="8">
        <v>6</v>
      </c>
    </row>
    <row r="29" spans="1:3">
      <c r="A29" s="8" t="s">
        <v>651</v>
      </c>
      <c r="B29" s="8" t="s">
        <v>652</v>
      </c>
      <c r="C29" s="8">
        <v>14</v>
      </c>
    </row>
    <row r="30" spans="1:3">
      <c r="A30" s="8" t="s">
        <v>653</v>
      </c>
      <c r="B30" s="8" t="s">
        <v>645</v>
      </c>
      <c r="C30" s="8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0B-1E42-4EBB-A787-8899DC26A882}">
  <dimension ref="A1:C16"/>
  <sheetViews>
    <sheetView workbookViewId="0">
      <selection activeCell="C15" sqref="C15"/>
    </sheetView>
  </sheetViews>
  <sheetFormatPr defaultRowHeight="13.8"/>
  <cols>
    <col min="1" max="1" width="18.296875" customWidth="1"/>
    <col min="2" max="2" width="11.59765625" customWidth="1"/>
  </cols>
  <sheetData>
    <row r="1" spans="1:3">
      <c r="A1" s="31" t="s">
        <v>672</v>
      </c>
      <c r="B1" s="11" t="s">
        <v>603</v>
      </c>
      <c r="C1" s="11" t="s">
        <v>671</v>
      </c>
    </row>
    <row r="2" spans="1:3">
      <c r="A2" s="18" t="s">
        <v>1</v>
      </c>
      <c r="C2">
        <v>0</v>
      </c>
    </row>
    <row r="3" spans="1:3">
      <c r="A3" s="18" t="s">
        <v>50</v>
      </c>
      <c r="C3">
        <v>0</v>
      </c>
    </row>
    <row r="4" spans="1:3">
      <c r="A4" s="18" t="s">
        <v>62</v>
      </c>
      <c r="C4">
        <v>0</v>
      </c>
    </row>
    <row r="5" spans="1:3">
      <c r="A5" s="18" t="s">
        <v>79</v>
      </c>
      <c r="C5">
        <v>0</v>
      </c>
    </row>
    <row r="6" spans="1:3">
      <c r="A6" s="18" t="s">
        <v>627</v>
      </c>
      <c r="B6" t="s">
        <v>622</v>
      </c>
      <c r="C6">
        <v>10</v>
      </c>
    </row>
    <row r="7" spans="1:3">
      <c r="A7" s="18" t="s">
        <v>628</v>
      </c>
      <c r="B7" t="s">
        <v>622</v>
      </c>
      <c r="C7">
        <v>10</v>
      </c>
    </row>
    <row r="8" spans="1:3">
      <c r="A8" s="18" t="s">
        <v>632</v>
      </c>
      <c r="C8">
        <v>2</v>
      </c>
    </row>
    <row r="9" spans="1:3">
      <c r="A9" s="18" t="s">
        <v>633</v>
      </c>
      <c r="B9" t="s">
        <v>605</v>
      </c>
      <c r="C9">
        <v>10</v>
      </c>
    </row>
    <row r="10" spans="1:3">
      <c r="A10" s="18" t="s">
        <v>634</v>
      </c>
      <c r="B10" t="s">
        <v>622</v>
      </c>
      <c r="C10">
        <v>20</v>
      </c>
    </row>
    <row r="11" spans="1:3">
      <c r="A11" s="18" t="s">
        <v>635</v>
      </c>
      <c r="B11" t="s">
        <v>605</v>
      </c>
      <c r="C11">
        <v>10</v>
      </c>
    </row>
    <row r="12" spans="1:3">
      <c r="A12" s="18" t="s">
        <v>636</v>
      </c>
      <c r="B12" t="s">
        <v>637</v>
      </c>
      <c r="C12">
        <v>60</v>
      </c>
    </row>
    <row r="13" spans="1:3">
      <c r="A13" s="16" t="s">
        <v>638</v>
      </c>
      <c r="B13" t="s">
        <v>637</v>
      </c>
      <c r="C13">
        <v>15</v>
      </c>
    </row>
    <row r="14" spans="1:3">
      <c r="A14" s="18" t="s">
        <v>639</v>
      </c>
      <c r="C14">
        <v>3</v>
      </c>
    </row>
    <row r="15" spans="1:3">
      <c r="A15" s="26" t="s">
        <v>702</v>
      </c>
      <c r="C15">
        <v>28</v>
      </c>
    </row>
    <row r="16" spans="1:3">
      <c r="A16" s="26" t="s">
        <v>703</v>
      </c>
      <c r="C16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E7D1-EBA3-4945-AE5D-FEFA9B445C82}">
  <dimension ref="A1:B79"/>
  <sheetViews>
    <sheetView topLeftCell="A49" workbookViewId="0">
      <selection activeCell="E25" sqref="E25"/>
    </sheetView>
  </sheetViews>
  <sheetFormatPr defaultRowHeight="13.8"/>
  <cols>
    <col min="1" max="1" width="42" customWidth="1"/>
  </cols>
  <sheetData>
    <row r="1" spans="1:2">
      <c r="A1" s="14" t="s">
        <v>18</v>
      </c>
      <c r="B1" t="s">
        <v>674</v>
      </c>
    </row>
    <row r="2" spans="1:2">
      <c r="A2" t="s">
        <v>19</v>
      </c>
    </row>
    <row r="3" spans="1:2">
      <c r="A3" t="s">
        <v>20</v>
      </c>
    </row>
    <row r="4" spans="1:2">
      <c r="A4" t="s">
        <v>21</v>
      </c>
    </row>
    <row r="5" spans="1:2">
      <c r="A5" t="s">
        <v>22</v>
      </c>
    </row>
    <row r="6" spans="1:2">
      <c r="A6" t="s">
        <v>23</v>
      </c>
    </row>
    <row r="7" spans="1:2">
      <c r="A7" t="s">
        <v>25</v>
      </c>
    </row>
    <row r="8" spans="1:2">
      <c r="A8" t="s">
        <v>26</v>
      </c>
    </row>
    <row r="9" spans="1:2">
      <c r="A9" t="s">
        <v>27</v>
      </c>
    </row>
    <row r="10" spans="1:2">
      <c r="A10" t="s">
        <v>69</v>
      </c>
    </row>
    <row r="11" spans="1:2">
      <c r="A11" t="s">
        <v>70</v>
      </c>
    </row>
    <row r="12" spans="1:2">
      <c r="A12" t="s">
        <v>71</v>
      </c>
    </row>
    <row r="13" spans="1:2">
      <c r="A13" t="s">
        <v>76</v>
      </c>
    </row>
    <row r="14" spans="1:2">
      <c r="A14" t="s">
        <v>81</v>
      </c>
    </row>
    <row r="15" spans="1:2">
      <c r="A15" t="s">
        <v>19</v>
      </c>
    </row>
    <row r="16" spans="1:2">
      <c r="A16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85</v>
      </c>
    </row>
    <row r="20" spans="1:1">
      <c r="A20" t="s">
        <v>101</v>
      </c>
    </row>
    <row r="21" spans="1:1">
      <c r="A21" t="s">
        <v>86</v>
      </c>
    </row>
    <row r="22" spans="1:1">
      <c r="A22" t="s">
        <v>87</v>
      </c>
    </row>
    <row r="23" spans="1:1">
      <c r="A23" t="s">
        <v>88</v>
      </c>
    </row>
    <row r="24" spans="1:1">
      <c r="A24" t="s">
        <v>89</v>
      </c>
    </row>
    <row r="25" spans="1:1">
      <c r="A25" t="s">
        <v>90</v>
      </c>
    </row>
    <row r="26" spans="1:1">
      <c r="A26" t="s">
        <v>91</v>
      </c>
    </row>
    <row r="27" spans="1:1">
      <c r="A27" t="s">
        <v>92</v>
      </c>
    </row>
    <row r="28" spans="1:1">
      <c r="A28" t="s">
        <v>93</v>
      </c>
    </row>
    <row r="29" spans="1:1">
      <c r="A29" t="s">
        <v>94</v>
      </c>
    </row>
    <row r="30" spans="1:1">
      <c r="A30" t="s">
        <v>95</v>
      </c>
    </row>
    <row r="31" spans="1:1">
      <c r="A31" t="s">
        <v>96</v>
      </c>
    </row>
    <row r="32" spans="1:1">
      <c r="A32" t="s">
        <v>98</v>
      </c>
    </row>
    <row r="33" spans="1:1">
      <c r="A33" t="s">
        <v>97</v>
      </c>
    </row>
    <row r="34" spans="1:1">
      <c r="A34" t="s">
        <v>99</v>
      </c>
    </row>
    <row r="35" spans="1:1">
      <c r="A35" t="s">
        <v>100</v>
      </c>
    </row>
    <row r="36" spans="1:1">
      <c r="A36" t="s">
        <v>102</v>
      </c>
    </row>
    <row r="37" spans="1:1">
      <c r="A37" t="s">
        <v>103</v>
      </c>
    </row>
    <row r="38" spans="1:1">
      <c r="A38" t="s">
        <v>104</v>
      </c>
    </row>
    <row r="39" spans="1:1">
      <c r="A39" t="s">
        <v>105</v>
      </c>
    </row>
    <row r="40" spans="1:1">
      <c r="A40" t="s">
        <v>106</v>
      </c>
    </row>
    <row r="41" spans="1:1">
      <c r="A41" t="s">
        <v>107</v>
      </c>
    </row>
    <row r="42" spans="1:1">
      <c r="A42" t="s">
        <v>108</v>
      </c>
    </row>
    <row r="43" spans="1:1">
      <c r="A43" t="s">
        <v>109</v>
      </c>
    </row>
    <row r="44" spans="1:1">
      <c r="A44" t="s">
        <v>110</v>
      </c>
    </row>
    <row r="45" spans="1:1">
      <c r="A45" t="s">
        <v>111</v>
      </c>
    </row>
    <row r="46" spans="1:1">
      <c r="A46" t="s">
        <v>112</v>
      </c>
    </row>
    <row r="47" spans="1:1">
      <c r="A47" t="s">
        <v>113</v>
      </c>
    </row>
    <row r="48" spans="1:1">
      <c r="A48" t="s">
        <v>114</v>
      </c>
    </row>
    <row r="49" spans="1:1">
      <c r="A49" t="s">
        <v>115</v>
      </c>
    </row>
    <row r="50" spans="1:1">
      <c r="A50" t="s">
        <v>116</v>
      </c>
    </row>
    <row r="51" spans="1:1">
      <c r="A51" t="s">
        <v>117</v>
      </c>
    </row>
    <row r="52" spans="1:1">
      <c r="A52" t="s">
        <v>118</v>
      </c>
    </row>
    <row r="53" spans="1:1">
      <c r="A53" t="s">
        <v>119</v>
      </c>
    </row>
    <row r="54" spans="1:1">
      <c r="A54" t="s">
        <v>120</v>
      </c>
    </row>
    <row r="55" spans="1:1">
      <c r="A55" t="s">
        <v>121</v>
      </c>
    </row>
    <row r="56" spans="1:1">
      <c r="A56" t="s">
        <v>122</v>
      </c>
    </row>
    <row r="57" spans="1:1">
      <c r="A57" t="s">
        <v>123</v>
      </c>
    </row>
    <row r="58" spans="1:1">
      <c r="A58" t="s">
        <v>124</v>
      </c>
    </row>
    <row r="59" spans="1:1">
      <c r="A59" t="s">
        <v>125</v>
      </c>
    </row>
    <row r="60" spans="1:1">
      <c r="A60" t="s">
        <v>126</v>
      </c>
    </row>
    <row r="61" spans="1:1">
      <c r="A61" t="s">
        <v>123</v>
      </c>
    </row>
    <row r="62" spans="1:1">
      <c r="A62" t="s">
        <v>127</v>
      </c>
    </row>
    <row r="63" spans="1:1">
      <c r="A63" t="s">
        <v>128</v>
      </c>
    </row>
    <row r="64" spans="1:1">
      <c r="A64" t="s">
        <v>129</v>
      </c>
    </row>
    <row r="65" spans="1:2">
      <c r="A65" t="s">
        <v>130</v>
      </c>
    </row>
    <row r="66" spans="1:2">
      <c r="A66" t="s">
        <v>131</v>
      </c>
    </row>
    <row r="67" spans="1:2">
      <c r="A67" t="s">
        <v>132</v>
      </c>
    </row>
    <row r="68" spans="1:2">
      <c r="A68" t="s">
        <v>133</v>
      </c>
    </row>
    <row r="69" spans="1:2">
      <c r="A69" t="s">
        <v>134</v>
      </c>
    </row>
    <row r="70" spans="1:2">
      <c r="A70" t="s">
        <v>135</v>
      </c>
    </row>
    <row r="71" spans="1:2">
      <c r="A71" t="s">
        <v>136</v>
      </c>
    </row>
    <row r="72" spans="1:2">
      <c r="A72" t="s">
        <v>112</v>
      </c>
    </row>
    <row r="73" spans="1:2">
      <c r="A73" t="s">
        <v>137</v>
      </c>
    </row>
    <row r="74" spans="1:2">
      <c r="A74" t="s">
        <v>138</v>
      </c>
    </row>
    <row r="75" spans="1:2">
      <c r="A75" t="s">
        <v>139</v>
      </c>
    </row>
    <row r="76" spans="1:2">
      <c r="A76" t="s">
        <v>140</v>
      </c>
    </row>
    <row r="77" spans="1:2">
      <c r="A77" t="s">
        <v>141</v>
      </c>
    </row>
    <row r="78" spans="1:2">
      <c r="A78" t="s">
        <v>410</v>
      </c>
    </row>
    <row r="79" spans="1:2">
      <c r="A79" t="s">
        <v>643</v>
      </c>
      <c r="B7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23DA-F5E1-44EF-93B2-181B21C75C04}">
  <dimension ref="A1:B22"/>
  <sheetViews>
    <sheetView topLeftCell="A22" workbookViewId="0">
      <selection activeCell="E19" sqref="E19"/>
    </sheetView>
  </sheetViews>
  <sheetFormatPr defaultRowHeight="13.8"/>
  <cols>
    <col min="1" max="1" width="15.296875" customWidth="1"/>
    <col min="2" max="2" width="28.69921875" customWidth="1"/>
  </cols>
  <sheetData>
    <row r="1" spans="1:2">
      <c r="A1" s="46" t="s">
        <v>0</v>
      </c>
      <c r="B1" s="46"/>
    </row>
    <row r="2" spans="1:2">
      <c r="A2" s="5" t="s">
        <v>173</v>
      </c>
      <c r="B2" s="5" t="s">
        <v>222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11</v>
      </c>
    </row>
    <row r="7" spans="1:2">
      <c r="B7" t="s">
        <v>12</v>
      </c>
    </row>
    <row r="8" spans="1:2">
      <c r="B8" t="s">
        <v>55</v>
      </c>
    </row>
    <row r="9" spans="1:2">
      <c r="B9" t="s">
        <v>56</v>
      </c>
    </row>
    <row r="10" spans="1:2">
      <c r="B10" t="s">
        <v>63</v>
      </c>
    </row>
    <row r="11" spans="1:2">
      <c r="B11" t="s">
        <v>80</v>
      </c>
    </row>
    <row r="12" spans="1:2">
      <c r="A12" t="s">
        <v>225</v>
      </c>
      <c r="B12" t="s">
        <v>224</v>
      </c>
    </row>
    <row r="13" spans="1:2">
      <c r="A13" t="s">
        <v>226</v>
      </c>
      <c r="B13" t="s">
        <v>227</v>
      </c>
    </row>
    <row r="14" spans="1:2">
      <c r="A14" t="s">
        <v>228</v>
      </c>
      <c r="B14" t="s">
        <v>229</v>
      </c>
    </row>
    <row r="15" spans="1:2">
      <c r="A15" t="s">
        <v>230</v>
      </c>
      <c r="B15" t="s">
        <v>231</v>
      </c>
    </row>
    <row r="16" spans="1:2">
      <c r="A16" t="s">
        <v>232</v>
      </c>
      <c r="B16" t="s">
        <v>233</v>
      </c>
    </row>
    <row r="17" spans="1:2">
      <c r="A17" t="s">
        <v>234</v>
      </c>
      <c r="B17" t="s">
        <v>235</v>
      </c>
    </row>
    <row r="18" spans="1:2">
      <c r="A18" t="s">
        <v>236</v>
      </c>
      <c r="B18" t="s">
        <v>237</v>
      </c>
    </row>
    <row r="19" spans="1:2">
      <c r="A19" s="2" t="s">
        <v>239</v>
      </c>
      <c r="B19" t="s">
        <v>238</v>
      </c>
    </row>
    <row r="20" spans="1:2">
      <c r="A20" t="s">
        <v>240</v>
      </c>
      <c r="B20" t="s">
        <v>241</v>
      </c>
    </row>
    <row r="21" spans="1:2">
      <c r="B21" t="s">
        <v>8</v>
      </c>
    </row>
    <row r="22" spans="1:2">
      <c r="B22" t="s">
        <v>65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A0BB-099E-4F80-94D0-9142D069056A}">
  <dimension ref="A1:A3"/>
  <sheetViews>
    <sheetView workbookViewId="0">
      <selection activeCell="H20" sqref="H20"/>
    </sheetView>
  </sheetViews>
  <sheetFormatPr defaultRowHeight="13.8"/>
  <cols>
    <col min="1" max="1" width="22.09765625" customWidth="1"/>
  </cols>
  <sheetData>
    <row r="1" spans="1:1">
      <c r="A1" s="15" t="s">
        <v>73</v>
      </c>
    </row>
    <row r="2" spans="1:1">
      <c r="A2" t="s">
        <v>74</v>
      </c>
    </row>
    <row r="3" spans="1:1">
      <c r="A3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39A7-7494-4D00-978E-2DEF8B8010CB}">
  <dimension ref="A1:A14"/>
  <sheetViews>
    <sheetView workbookViewId="0">
      <selection activeCell="F16" sqref="F16"/>
    </sheetView>
  </sheetViews>
  <sheetFormatPr defaultRowHeight="13.8"/>
  <cols>
    <col min="1" max="1" width="23.796875" customWidth="1"/>
  </cols>
  <sheetData>
    <row r="1" spans="1:1">
      <c r="A1" s="10" t="s">
        <v>482</v>
      </c>
    </row>
    <row r="2" spans="1:1">
      <c r="A2" s="8" t="s">
        <v>483</v>
      </c>
    </row>
    <row r="3" spans="1:1">
      <c r="A3" s="8" t="s">
        <v>484</v>
      </c>
    </row>
    <row r="4" spans="1:1">
      <c r="A4" s="8" t="s">
        <v>485</v>
      </c>
    </row>
    <row r="5" spans="1:1">
      <c r="A5" s="8" t="s">
        <v>486</v>
      </c>
    </row>
    <row r="6" spans="1:1">
      <c r="A6" s="8" t="s">
        <v>487</v>
      </c>
    </row>
    <row r="7" spans="1:1">
      <c r="A7" s="8" t="s">
        <v>488</v>
      </c>
    </row>
    <row r="8" spans="1:1">
      <c r="A8" s="8" t="s">
        <v>485</v>
      </c>
    </row>
    <row r="9" spans="1:1">
      <c r="A9" s="8" t="s">
        <v>489</v>
      </c>
    </row>
    <row r="10" spans="1:1">
      <c r="A10" s="8" t="s">
        <v>490</v>
      </c>
    </row>
    <row r="11" spans="1:1">
      <c r="A11" s="8" t="s">
        <v>483</v>
      </c>
    </row>
    <row r="12" spans="1:1">
      <c r="A12" s="8" t="s">
        <v>491</v>
      </c>
    </row>
    <row r="13" spans="1:1">
      <c r="A13" s="8" t="s">
        <v>483</v>
      </c>
    </row>
    <row r="14" spans="1:1">
      <c r="A14" s="8" t="s">
        <v>492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893C-FD5A-4DED-A009-611DA139B235}">
  <dimension ref="A1:B4"/>
  <sheetViews>
    <sheetView workbookViewId="0">
      <selection activeCell="I38" sqref="I38"/>
    </sheetView>
  </sheetViews>
  <sheetFormatPr defaultRowHeight="13.8"/>
  <cols>
    <col min="1" max="1" width="17.69921875" customWidth="1"/>
    <col min="2" max="2" width="11.296875" customWidth="1"/>
  </cols>
  <sheetData>
    <row r="1" spans="1:2">
      <c r="A1" s="14" t="s">
        <v>67</v>
      </c>
      <c r="B1" s="14" t="s">
        <v>612</v>
      </c>
    </row>
    <row r="2" spans="1:2">
      <c r="A2" t="s">
        <v>68</v>
      </c>
    </row>
    <row r="3" spans="1:2">
      <c r="A3" t="s">
        <v>611</v>
      </c>
      <c r="B3">
        <v>7</v>
      </c>
    </row>
    <row r="4" spans="1:2">
      <c r="A4" t="s">
        <v>613</v>
      </c>
      <c r="B4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216D-3F71-4D4C-A91E-A8D3BE38AF7E}">
  <dimension ref="A1:E6"/>
  <sheetViews>
    <sheetView workbookViewId="0">
      <selection activeCell="I15" sqref="I15"/>
    </sheetView>
  </sheetViews>
  <sheetFormatPr defaultRowHeight="13.8"/>
  <sheetData>
    <row r="1" spans="1:5">
      <c r="A1" s="47" t="s">
        <v>541</v>
      </c>
      <c r="B1" s="47"/>
      <c r="C1" s="47"/>
      <c r="D1" s="47"/>
      <c r="E1" s="47"/>
    </row>
    <row r="2" spans="1:5">
      <c r="A2" s="17" t="s">
        <v>542</v>
      </c>
      <c r="B2" s="17" t="s">
        <v>543</v>
      </c>
      <c r="C2" s="17"/>
      <c r="D2" s="17"/>
      <c r="E2" s="17" t="s">
        <v>544</v>
      </c>
    </row>
    <row r="3" spans="1:5">
      <c r="A3" s="8" t="s">
        <v>498</v>
      </c>
      <c r="B3">
        <v>220</v>
      </c>
      <c r="E3" s="6" t="s">
        <v>197</v>
      </c>
    </row>
    <row r="4" spans="1:5">
      <c r="A4" s="9" t="s">
        <v>519</v>
      </c>
      <c r="B4">
        <v>2700</v>
      </c>
      <c r="E4" s="6" t="s">
        <v>197</v>
      </c>
    </row>
    <row r="5" spans="1:5">
      <c r="A5" s="9" t="s">
        <v>533</v>
      </c>
      <c r="B5">
        <v>220</v>
      </c>
      <c r="E5" s="6" t="s">
        <v>197</v>
      </c>
    </row>
    <row r="6" spans="1:5">
      <c r="A6" s="8" t="s">
        <v>498</v>
      </c>
      <c r="B6">
        <v>220</v>
      </c>
      <c r="E6" s="6" t="s">
        <v>197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2FB4-00EE-473D-8BCF-DF47BE585853}">
  <dimension ref="A1:D12"/>
  <sheetViews>
    <sheetView workbookViewId="0">
      <selection activeCell="H16" sqref="H16"/>
    </sheetView>
  </sheetViews>
  <sheetFormatPr defaultRowHeight="13.8"/>
  <sheetData>
    <row r="1" spans="1:4">
      <c r="A1" s="46" t="s">
        <v>383</v>
      </c>
      <c r="B1" s="46"/>
      <c r="C1" s="46"/>
      <c r="D1" s="46"/>
    </row>
    <row r="2" spans="1:4">
      <c r="A2" t="s">
        <v>384</v>
      </c>
      <c r="B2" t="s">
        <v>385</v>
      </c>
      <c r="C2" t="s">
        <v>386</v>
      </c>
      <c r="D2" t="s">
        <v>387</v>
      </c>
    </row>
    <row r="3" spans="1:4">
      <c r="A3" t="s">
        <v>382</v>
      </c>
      <c r="B3" t="s">
        <v>388</v>
      </c>
      <c r="C3" t="s">
        <v>389</v>
      </c>
      <c r="D3" s="2" t="s">
        <v>188</v>
      </c>
    </row>
    <row r="4" spans="1:4">
      <c r="A4" t="s">
        <v>390</v>
      </c>
      <c r="B4" t="s">
        <v>391</v>
      </c>
      <c r="C4" t="s">
        <v>392</v>
      </c>
      <c r="D4" s="2" t="s">
        <v>188</v>
      </c>
    </row>
    <row r="5" spans="1:4">
      <c r="A5" t="s">
        <v>395</v>
      </c>
      <c r="B5" t="s">
        <v>396</v>
      </c>
      <c r="C5" t="s">
        <v>389</v>
      </c>
      <c r="D5" s="2" t="s">
        <v>188</v>
      </c>
    </row>
    <row r="6" spans="1:4">
      <c r="A6" t="s">
        <v>397</v>
      </c>
      <c r="B6" t="s">
        <v>398</v>
      </c>
      <c r="C6" t="s">
        <v>399</v>
      </c>
      <c r="D6" s="2" t="s">
        <v>188</v>
      </c>
    </row>
    <row r="7" spans="1:4">
      <c r="A7" t="s">
        <v>400</v>
      </c>
      <c r="B7" t="s">
        <v>401</v>
      </c>
      <c r="C7" t="s">
        <v>361</v>
      </c>
      <c r="D7" s="2" t="s">
        <v>188</v>
      </c>
    </row>
    <row r="8" spans="1:4">
      <c r="A8" s="8" t="s">
        <v>474</v>
      </c>
      <c r="B8" s="8" t="s">
        <v>479</v>
      </c>
      <c r="C8" s="8"/>
      <c r="D8" s="8"/>
    </row>
    <row r="9" spans="1:4">
      <c r="A9" s="8" t="s">
        <v>475</v>
      </c>
      <c r="B9" s="8" t="s">
        <v>398</v>
      </c>
      <c r="C9" s="8" t="s">
        <v>392</v>
      </c>
      <c r="D9" s="8">
        <v>1206</v>
      </c>
    </row>
    <row r="10" spans="1:4">
      <c r="A10" s="8" t="s">
        <v>476</v>
      </c>
      <c r="B10" s="8" t="s">
        <v>480</v>
      </c>
      <c r="C10" s="8" t="s">
        <v>389</v>
      </c>
      <c r="D10" s="8">
        <v>1206</v>
      </c>
    </row>
    <row r="11" spans="1:4">
      <c r="A11" s="8" t="s">
        <v>477</v>
      </c>
      <c r="B11" s="8" t="s">
        <v>480</v>
      </c>
      <c r="C11" s="8" t="s">
        <v>392</v>
      </c>
      <c r="D11" s="8">
        <v>1206</v>
      </c>
    </row>
    <row r="12" spans="1:4">
      <c r="A12" s="8" t="s">
        <v>478</v>
      </c>
      <c r="B12" s="8" t="s">
        <v>481</v>
      </c>
      <c r="C12" s="8" t="s">
        <v>392</v>
      </c>
      <c r="D12" s="8">
        <v>1206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671F-5CD3-4DF8-AF33-1FF838B07D70}">
  <dimension ref="A1:C34"/>
  <sheetViews>
    <sheetView topLeftCell="A16" workbookViewId="0">
      <selection activeCell="G43" sqref="G43"/>
    </sheetView>
  </sheetViews>
  <sheetFormatPr defaultRowHeight="13.8"/>
  <cols>
    <col min="1" max="1" width="26.796875" customWidth="1"/>
    <col min="2" max="2" width="50.8984375" customWidth="1"/>
  </cols>
  <sheetData>
    <row r="1" spans="1:3">
      <c r="A1" t="s">
        <v>673</v>
      </c>
      <c r="B1" t="s">
        <v>384</v>
      </c>
      <c r="C1" t="s">
        <v>675</v>
      </c>
    </row>
    <row r="2" spans="1:3">
      <c r="A2" t="s">
        <v>411</v>
      </c>
      <c r="B2" t="s">
        <v>412</v>
      </c>
      <c r="C2">
        <v>1</v>
      </c>
    </row>
    <row r="3" spans="1:3">
      <c r="A3" t="s">
        <v>48</v>
      </c>
      <c r="B3" t="s">
        <v>49</v>
      </c>
      <c r="C3">
        <v>1</v>
      </c>
    </row>
    <row r="4" spans="1:3">
      <c r="A4" t="s">
        <v>46</v>
      </c>
      <c r="B4" t="s">
        <v>47</v>
      </c>
      <c r="C4">
        <v>1</v>
      </c>
    </row>
    <row r="5" spans="1:3">
      <c r="B5" t="s">
        <v>36</v>
      </c>
    </row>
    <row r="6" spans="1:3">
      <c r="B6" t="s">
        <v>35</v>
      </c>
    </row>
    <row r="7" spans="1:3">
      <c r="B7" t="s">
        <v>77</v>
      </c>
    </row>
    <row r="8" spans="1:3">
      <c r="A8" t="s">
        <v>30</v>
      </c>
      <c r="B8" t="s">
        <v>57</v>
      </c>
    </row>
    <row r="9" spans="1:3">
      <c r="A9" t="s">
        <v>30</v>
      </c>
      <c r="B9" t="s">
        <v>47</v>
      </c>
    </row>
    <row r="10" spans="1:3">
      <c r="B10" t="s">
        <v>5</v>
      </c>
    </row>
    <row r="11" spans="1:3">
      <c r="B11" t="s">
        <v>6</v>
      </c>
    </row>
    <row r="12" spans="1:3">
      <c r="B12" t="s">
        <v>7</v>
      </c>
    </row>
    <row r="13" spans="1:3">
      <c r="B13" t="s">
        <v>9</v>
      </c>
    </row>
    <row r="14" spans="1:3">
      <c r="B14" t="s">
        <v>13</v>
      </c>
    </row>
    <row r="15" spans="1:3">
      <c r="B15" t="s">
        <v>14</v>
      </c>
    </row>
    <row r="16" spans="1:3">
      <c r="B16" t="s">
        <v>16</v>
      </c>
    </row>
    <row r="17" spans="2:2">
      <c r="B17" t="s">
        <v>17</v>
      </c>
    </row>
    <row r="18" spans="2:2">
      <c r="B18" t="s">
        <v>24</v>
      </c>
    </row>
    <row r="19" spans="2:2">
      <c r="B19" t="s">
        <v>28</v>
      </c>
    </row>
    <row r="20" spans="2:2">
      <c r="B20" t="s">
        <v>29</v>
      </c>
    </row>
    <row r="22" spans="2:2">
      <c r="B22" t="s">
        <v>31</v>
      </c>
    </row>
    <row r="23" spans="2:2">
      <c r="B23" t="s">
        <v>32</v>
      </c>
    </row>
    <row r="25" spans="2:2">
      <c r="B25" t="s">
        <v>34</v>
      </c>
    </row>
    <row r="26" spans="2:2">
      <c r="B26" t="s">
        <v>51</v>
      </c>
    </row>
    <row r="27" spans="2:2">
      <c r="B27" t="s">
        <v>52</v>
      </c>
    </row>
    <row r="28" spans="2:2">
      <c r="B28" t="s">
        <v>53</v>
      </c>
    </row>
    <row r="29" spans="2:2">
      <c r="B29" t="s">
        <v>33</v>
      </c>
    </row>
    <row r="30" spans="2:2">
      <c r="B30" t="s">
        <v>54</v>
      </c>
    </row>
    <row r="31" spans="2:2">
      <c r="B31" t="s">
        <v>58</v>
      </c>
    </row>
    <row r="32" spans="2:2">
      <c r="B32" t="s">
        <v>64</v>
      </c>
    </row>
    <row r="33" spans="2:2">
      <c r="B33" t="s">
        <v>66</v>
      </c>
    </row>
    <row r="34" spans="2:2">
      <c r="B34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Resistor</vt:lpstr>
      <vt:lpstr>Capacitor</vt:lpstr>
      <vt:lpstr>Inductor</vt:lpstr>
      <vt:lpstr>Filter</vt:lpstr>
      <vt:lpstr>VCO</vt:lpstr>
      <vt:lpstr>Mixer</vt:lpstr>
      <vt:lpstr>Amplifier</vt:lpstr>
      <vt:lpstr>Regulator</vt:lpstr>
      <vt:lpstr>Connector</vt:lpstr>
      <vt:lpstr>Multiplier</vt:lpstr>
      <vt:lpstr>Switch</vt:lpstr>
      <vt:lpstr>Attenuator</vt:lpstr>
      <vt:lpstr>Ferrite bead </vt:lpstr>
      <vt:lpstr>Fuse</vt:lpstr>
      <vt:lpstr>Other</vt:lpstr>
      <vt:lpstr>_0201</vt:lpstr>
      <vt:lpstr>Resistor!daass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Xinhang Xu</cp:lastModifiedBy>
  <dcterms:created xsi:type="dcterms:W3CDTF">2025-11-14T18:05:50Z</dcterms:created>
  <dcterms:modified xsi:type="dcterms:W3CDTF">2026-01-01T07:04:22Z</dcterms:modified>
</cp:coreProperties>
</file>