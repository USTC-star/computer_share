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mwave\Desktop\share document\"/>
    </mc:Choice>
  </mc:AlternateContent>
  <xr:revisionPtr revIDLastSave="0" documentId="8_{929C680B-BECB-4647-B3F9-B410E5FE6B73}" xr6:coauthVersionLast="36" xr6:coauthVersionMax="36" xr10:uidLastSave="{00000000-0000-0000-0000-000000000000}"/>
  <bookViews>
    <workbookView xWindow="-120" yWindow="-120" windowWidth="25440" windowHeight="15396" xr2:uid="{4EF1B334-B9A4-468B-ADB9-1CC422E31F4C}"/>
  </bookViews>
  <sheets>
    <sheet name="Resistor" sheetId="1" r:id="rId1"/>
    <sheet name="Capacitor" sheetId="2" r:id="rId2"/>
    <sheet name="Inductor" sheetId="3" r:id="rId3"/>
    <sheet name="Filter" sheetId="5" r:id="rId4"/>
    <sheet name="VCO" sheetId="6" r:id="rId5"/>
    <sheet name="Mixer" sheetId="8" r:id="rId6"/>
    <sheet name="Amplifier" sheetId="4" r:id="rId7"/>
    <sheet name="Regulator" sheetId="7" r:id="rId8"/>
    <sheet name="Connector" sheetId="10" r:id="rId9"/>
    <sheet name="Multiplier" sheetId="9" r:id="rId10"/>
    <sheet name="Switch" sheetId="11" r:id="rId11"/>
    <sheet name="Attenuator" sheetId="12" r:id="rId12"/>
    <sheet name="Fuse" sheetId="14" r:id="rId13"/>
    <sheet name="Ferrite bead " sheetId="15" r:id="rId14"/>
    <sheet name="Digital IC" sheetId="16" r:id="rId15"/>
    <sheet name="Other" sheetId="13" r:id="rId16"/>
  </sheets>
  <definedNames>
    <definedName name="_0201">Inductor!$A$3</definedName>
    <definedName name="_xlnm._FilterDatabase" localSheetId="0" hidden="1">Resistor!$A$3:$E$81</definedName>
    <definedName name="daass" comment="sdas" localSheetId="0">Inductor!$A$3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" i="2" l="1"/>
  <c r="C23" i="2"/>
  <c r="C85" i="2"/>
  <c r="C47" i="2"/>
  <c r="C20" i="2"/>
  <c r="C21" i="2"/>
  <c r="C48" i="2"/>
  <c r="C84" i="2"/>
  <c r="C83" i="2"/>
  <c r="C49" i="2"/>
  <c r="C50" i="2"/>
  <c r="C57" i="2"/>
  <c r="C36" i="2"/>
  <c r="C51" i="2"/>
  <c r="C80" i="2"/>
  <c r="C58" i="2"/>
  <c r="C35" i="2"/>
  <c r="C80" i="1"/>
  <c r="C81" i="1"/>
  <c r="C57" i="1"/>
  <c r="C56" i="1"/>
  <c r="C75" i="1"/>
  <c r="C202" i="1"/>
  <c r="C203" i="1"/>
  <c r="C77" i="1"/>
  <c r="C83" i="1"/>
  <c r="C76" i="1"/>
  <c r="C79" i="1"/>
  <c r="C84" i="1"/>
  <c r="C111" i="1"/>
  <c r="C135" i="1"/>
  <c r="C136" i="1"/>
  <c r="C116" i="1"/>
  <c r="C140" i="1"/>
  <c r="C141" i="1"/>
  <c r="C143" i="1"/>
  <c r="C144" i="1"/>
  <c r="C145" i="1"/>
  <c r="C126" i="1"/>
  <c r="C191" i="1"/>
  <c r="C44" i="1"/>
  <c r="C142" i="1"/>
  <c r="C127" i="1"/>
  <c r="C3" i="1" l="1"/>
  <c r="C120" i="1"/>
  <c r="C195" i="1"/>
  <c r="C47" i="1"/>
  <c r="C48" i="1"/>
  <c r="C106" i="1"/>
  <c r="C138" i="1"/>
  <c r="C104" i="1"/>
  <c r="C60" i="2"/>
  <c r="C55" i="2"/>
  <c r="C3" i="2"/>
  <c r="C75" i="2"/>
  <c r="C74" i="2"/>
  <c r="C61" i="2"/>
  <c r="C76" i="2"/>
  <c r="C13" i="2"/>
  <c r="C72" i="2"/>
  <c r="C71" i="2"/>
  <c r="C121" i="1"/>
  <c r="C177" i="1"/>
  <c r="C176" i="1"/>
  <c r="C97" i="1"/>
  <c r="C42" i="1"/>
  <c r="C110" i="1"/>
  <c r="C112" i="1"/>
  <c r="C105" i="1"/>
  <c r="C95" i="1"/>
  <c r="C133" i="1"/>
  <c r="C94" i="1"/>
  <c r="C5" i="2" l="1"/>
  <c r="C87" i="2"/>
  <c r="C41" i="2"/>
  <c r="C40" i="2"/>
  <c r="C39" i="2"/>
  <c r="C9" i="2"/>
  <c r="C69" i="2"/>
  <c r="C28" i="2"/>
  <c r="C38" i="2"/>
  <c r="C210" i="1"/>
  <c r="C129" i="1"/>
  <c r="C85" i="1"/>
  <c r="C124" i="1"/>
  <c r="C90" i="1"/>
  <c r="C159" i="1"/>
  <c r="C130" i="1"/>
  <c r="C139" i="1"/>
  <c r="C122" i="1"/>
  <c r="C123" i="1"/>
  <c r="C137" i="1"/>
  <c r="C119" i="1"/>
  <c r="C109" i="1"/>
  <c r="C67" i="1"/>
  <c r="C132" i="1"/>
  <c r="C206" i="1"/>
  <c r="C194" i="1"/>
  <c r="C98" i="1"/>
  <c r="C205" i="1"/>
  <c r="C43" i="1"/>
  <c r="C93" i="1"/>
  <c r="C192" i="1"/>
  <c r="C181" i="1"/>
  <c r="C193" i="1"/>
  <c r="C131" i="1"/>
  <c r="C190" i="1"/>
  <c r="C18" i="2"/>
  <c r="C32" i="2"/>
  <c r="C24" i="2"/>
  <c r="C93" i="2"/>
  <c r="C92" i="2"/>
  <c r="C19" i="2"/>
  <c r="C156" i="1"/>
  <c r="C6" i="1"/>
  <c r="C155" i="1"/>
  <c r="C167" i="1"/>
  <c r="C7" i="1"/>
  <c r="C196" i="1"/>
  <c r="C160" i="1"/>
  <c r="C187" i="1"/>
  <c r="C115" i="1"/>
  <c r="C208" i="1"/>
  <c r="C147" i="1"/>
  <c r="C184" i="1"/>
  <c r="C4" i="1"/>
  <c r="C74" i="1"/>
  <c r="C96" i="1"/>
  <c r="C108" i="1"/>
  <c r="C5" i="1"/>
  <c r="C134" i="1"/>
  <c r="C60" i="1"/>
  <c r="C188" i="1"/>
  <c r="C186" i="1"/>
  <c r="C148" i="1"/>
  <c r="C207" i="1"/>
  <c r="C201" i="1"/>
  <c r="C161" i="1"/>
  <c r="C185" i="1"/>
  <c r="C189" i="1" l="1"/>
  <c r="C183" i="1"/>
  <c r="C209" i="1"/>
  <c r="C113" i="1" l="1"/>
  <c r="C88" i="1"/>
  <c r="C54" i="2"/>
  <c r="C29" i="2"/>
  <c r="C99" i="2"/>
  <c r="C82" i="1"/>
  <c r="C37" i="2"/>
  <c r="C117" i="1"/>
  <c r="C179" i="1"/>
  <c r="C170" i="1"/>
  <c r="C41" i="1"/>
  <c r="C174" i="1"/>
  <c r="C12" i="1"/>
  <c r="C25" i="2"/>
  <c r="C68" i="2"/>
  <c r="C97" i="2"/>
  <c r="C98" i="2"/>
  <c r="C43" i="2"/>
  <c r="C4" i="2"/>
  <c r="C70" i="2"/>
  <c r="C62" i="2" l="1"/>
  <c r="C46" i="2"/>
  <c r="C45" i="2"/>
  <c r="C100" i="2"/>
  <c r="C94" i="2"/>
  <c r="C91" i="2"/>
  <c r="C79" i="2"/>
  <c r="C56" i="2"/>
  <c r="C44" i="2"/>
  <c r="C82" i="2"/>
  <c r="C81" i="2"/>
  <c r="C42" i="2"/>
  <c r="C64" i="2"/>
  <c r="C59" i="2"/>
  <c r="C95" i="2"/>
  <c r="C88" i="2"/>
  <c r="C33" i="2"/>
  <c r="C89" i="2"/>
  <c r="C2" i="2"/>
  <c r="C67" i="2"/>
  <c r="C90" i="2"/>
  <c r="C86" i="2"/>
  <c r="C34" i="2"/>
  <c r="C53" i="2"/>
  <c r="C78" i="2"/>
  <c r="C73" i="2"/>
  <c r="C63" i="2"/>
  <c r="C27" i="2"/>
  <c r="C52" i="2"/>
  <c r="C7" i="2"/>
  <c r="C30" i="2"/>
  <c r="C6" i="2"/>
  <c r="C77" i="2"/>
  <c r="C8" i="2"/>
  <c r="C17" i="2"/>
  <c r="C31" i="2"/>
  <c r="C16" i="2"/>
  <c r="C15" i="2"/>
  <c r="C14" i="2"/>
  <c r="C26" i="2"/>
  <c r="C65" i="2"/>
  <c r="C101" i="2"/>
  <c r="C66" i="2"/>
  <c r="C12" i="2"/>
  <c r="C11" i="2"/>
  <c r="C10" i="2"/>
  <c r="C96" i="2"/>
  <c r="C63" i="1" l="1"/>
  <c r="C70" i="1"/>
  <c r="C61" i="1"/>
  <c r="C62" i="1"/>
  <c r="C154" i="1"/>
  <c r="C49" i="1"/>
  <c r="C69" i="1"/>
  <c r="C46" i="1"/>
  <c r="C45" i="1"/>
  <c r="C153" i="1"/>
  <c r="C180" i="1"/>
  <c r="C52" i="1"/>
  <c r="C68" i="1"/>
  <c r="C64" i="1"/>
  <c r="C51" i="1"/>
  <c r="C37" i="1"/>
  <c r="C204" i="1"/>
  <c r="C71" i="1"/>
  <c r="C17" i="1"/>
  <c r="C29" i="1"/>
  <c r="C150" i="1"/>
  <c r="C146" i="1"/>
  <c r="C128" i="1"/>
  <c r="C10" i="1" l="1"/>
  <c r="C58" i="1"/>
  <c r="C11" i="1"/>
  <c r="C8" i="1"/>
  <c r="C9" i="1"/>
  <c r="C162" i="1"/>
  <c r="C197" i="1"/>
  <c r="C163" i="1"/>
  <c r="C89" i="1"/>
  <c r="C36" i="1"/>
  <c r="C66" i="1"/>
  <c r="C73" i="1"/>
  <c r="C157" i="1"/>
  <c r="C65" i="1"/>
  <c r="C149" i="1"/>
  <c r="C38" i="1"/>
  <c r="C152" i="1"/>
  <c r="C200" i="1"/>
  <c r="C30" i="1"/>
  <c r="C72" i="1"/>
  <c r="C28" i="1"/>
  <c r="C26" i="1"/>
  <c r="C39" i="1"/>
  <c r="C158" i="1"/>
  <c r="C59" i="1"/>
  <c r="C55" i="1"/>
  <c r="C164" i="1"/>
  <c r="C24" i="1"/>
  <c r="C50" i="1"/>
  <c r="C169" i="1"/>
  <c r="C168" i="1" l="1"/>
  <c r="C199" i="1"/>
  <c r="C35" i="1"/>
  <c r="C99" i="1"/>
  <c r="C53" i="1"/>
  <c r="C151" i="1"/>
  <c r="C166" i="1"/>
  <c r="C165" i="1"/>
  <c r="C34" i="1"/>
  <c r="C15" i="1"/>
  <c r="C22" i="1"/>
  <c r="C19" i="1"/>
  <c r="C78" i="1"/>
  <c r="C86" i="1"/>
  <c r="C198" i="1"/>
  <c r="C172" i="1"/>
  <c r="C21" i="1"/>
  <c r="C92" i="1"/>
  <c r="C101" i="1"/>
  <c r="C125" i="1"/>
  <c r="C54" i="1" l="1"/>
  <c r="C13" i="1"/>
  <c r="C182" i="1"/>
  <c r="C31" i="1"/>
  <c r="C107" i="1"/>
  <c r="C25" i="1"/>
  <c r="C171" i="1"/>
  <c r="C175" i="1"/>
  <c r="C14" i="1"/>
  <c r="C118" i="1"/>
  <c r="C102" i="1"/>
  <c r="C20" i="1"/>
  <c r="C18" i="1"/>
  <c r="C27" i="1"/>
  <c r="C100" i="1"/>
  <c r="C178" i="1"/>
  <c r="C16" i="1"/>
  <c r="C173" i="1"/>
  <c r="C87" i="1"/>
  <c r="C40" i="1"/>
  <c r="C103" i="1"/>
  <c r="C91" i="1"/>
  <c r="C23" i="1"/>
  <c r="C114" i="1"/>
  <c r="C32" i="1"/>
  <c r="C33" i="1"/>
</calcChain>
</file>

<file path=xl/sharedStrings.xml><?xml version="1.0" encoding="utf-8"?>
<sst xmlns="http://schemas.openxmlformats.org/spreadsheetml/2006/main" count="1561" uniqueCount="997">
  <si>
    <t>connectors</t>
  </si>
  <si>
    <t>WR-FPC</t>
  </si>
  <si>
    <t>SMA</t>
  </si>
  <si>
    <t>BNC</t>
  </si>
  <si>
    <t>RF-Reciever Board</t>
  </si>
  <si>
    <t>Hi-temp epoxy</t>
  </si>
  <si>
    <t>digital mini scale 001g</t>
  </si>
  <si>
    <t>0.5mm FFC</t>
  </si>
  <si>
    <t>binder clip</t>
  </si>
  <si>
    <t>220 uF</t>
  </si>
  <si>
    <t>BLK</t>
  </si>
  <si>
    <t>type c</t>
  </si>
  <si>
    <t>DC boards</t>
  </si>
  <si>
    <t>surface mount: Bias-Tee</t>
  </si>
  <si>
    <t>100 pF</t>
  </si>
  <si>
    <t>book light</t>
  </si>
  <si>
    <t>tweezers</t>
  </si>
  <si>
    <t>Regulators</t>
  </si>
  <si>
    <t>ADP7182ACPZN-1.2R7 200 mA -1.2V</t>
  </si>
  <si>
    <t>TPS72301QDBVRQ1 200mA ADJ</t>
  </si>
  <si>
    <t>REG113EA-3/2K5 0.4A 3V</t>
  </si>
  <si>
    <t>REG113EA-2.5/2K5 0.4A 2.5V</t>
  </si>
  <si>
    <t>ADP7102ARD2-5.0-R7 300mA 5V</t>
  </si>
  <si>
    <t>reciever antenna testing components</t>
  </si>
  <si>
    <t>[no more sereal nums]</t>
  </si>
  <si>
    <t>0.3A 5V</t>
  </si>
  <si>
    <t>0.2A ADJ</t>
  </si>
  <si>
    <t>VCO 6.1 - 6.72 GHz</t>
  </si>
  <si>
    <t>clock oscillators 3.3V 20MHz</t>
  </si>
  <si>
    <t>data acqusition (ADC/DAC)</t>
  </si>
  <si>
    <t>TB-21</t>
  </si>
  <si>
    <t>TB-382</t>
  </si>
  <si>
    <t>HMC981LP3E</t>
  </si>
  <si>
    <t>BAT54SLT1G</t>
  </si>
  <si>
    <t>DIODE ARR SCHOTT 30V 200MA SOT23,BAT54SLT1G</t>
  </si>
  <si>
    <t>IC ACTIVE BIAS CONTROLLER 24QFN, HMC981LP3E</t>
  </si>
  <si>
    <t>Freq Mixer</t>
  </si>
  <si>
    <t>SIM -14+</t>
  </si>
  <si>
    <t>SIM-73L+</t>
  </si>
  <si>
    <t>SIM-83+</t>
  </si>
  <si>
    <t>SIM-83LH+</t>
  </si>
  <si>
    <t>SIM-153+</t>
  </si>
  <si>
    <t>SIM-153LH+</t>
  </si>
  <si>
    <t>SIM-43+</t>
  </si>
  <si>
    <t>SIM-63LH+</t>
  </si>
  <si>
    <t>DAC</t>
  </si>
  <si>
    <t>DAC8551IDGKT</t>
  </si>
  <si>
    <t>Demodulator</t>
  </si>
  <si>
    <t>JCIQ-176D+</t>
  </si>
  <si>
    <t>MC100VEL 16DG</t>
  </si>
  <si>
    <t>CB3LV-3I-30M0000</t>
  </si>
  <si>
    <t>K19041</t>
  </si>
  <si>
    <t>BAT54SLTIG</t>
  </si>
  <si>
    <t>USB.2</t>
  </si>
  <si>
    <t>Swithc (206-655)</t>
  </si>
  <si>
    <t>AD9854ASTZ</t>
  </si>
  <si>
    <t>light (red,0603,smd)</t>
  </si>
  <si>
    <t>Filter</t>
  </si>
  <si>
    <t>LFCV-45+</t>
  </si>
  <si>
    <t>LFCN-80+</t>
  </si>
  <si>
    <t>USB-C</t>
  </si>
  <si>
    <t>TCBT-123+</t>
  </si>
  <si>
    <t>bnc-bnc</t>
  </si>
  <si>
    <t>ROS-4303-119+</t>
  </si>
  <si>
    <t>Attenuator</t>
  </si>
  <si>
    <t>KAT-3+</t>
  </si>
  <si>
    <t>CAP CER, Tecdia. Inc</t>
  </si>
  <si>
    <t>SKT01C101M10A6</t>
  </si>
  <si>
    <t>L3SK00A101N10A6</t>
  </si>
  <si>
    <t>resistors(ohm)</t>
  </si>
  <si>
    <t>multiplier</t>
  </si>
  <si>
    <t>HMC1167LP5E</t>
  </si>
  <si>
    <t>TGC4406-SM</t>
  </si>
  <si>
    <t>TPS73501QDRBRQ1</t>
  </si>
  <si>
    <t>TGA 4705-FC</t>
  </si>
  <si>
    <t>HMC773LC3B</t>
  </si>
  <si>
    <t>VGA</t>
  </si>
  <si>
    <t>ADM717OACPZ-1.3-R7, IF_1.3V</t>
  </si>
  <si>
    <t xml:space="preserve">ADM717OACPZ-5.0-R7,5V_100mA </t>
  </si>
  <si>
    <t>LT3060IDC#TRMPBF</t>
  </si>
  <si>
    <t>ADM717OACPZ-3.3-R7,3.3V,0.5A</t>
  </si>
  <si>
    <t xml:space="preserve">ADM717OACPZ-1.8-R7,1.8V,500mA </t>
  </si>
  <si>
    <t>LP3985IM5-3.2/NOPB, 3.2V,0.15A</t>
  </si>
  <si>
    <t>L78L05ACUTR, 5V,1A</t>
  </si>
  <si>
    <t>L78L33ACUTR, 3.3V,1A</t>
  </si>
  <si>
    <t xml:space="preserve">TPS71730DCKR, 3.0V,150 mA </t>
  </si>
  <si>
    <t>BA78M07FP-E2, 7v, 500mA</t>
  </si>
  <si>
    <t>L78L06ABUTR, 6.0V, 0.1A</t>
  </si>
  <si>
    <t>AP1117Y50G-13, 5V,1A, SOT89-3</t>
  </si>
  <si>
    <t>MCP1804T-30021/MB,3V ,0.15A</t>
  </si>
  <si>
    <t>LT3015EQ-5#PBF, -5V 1.5A</t>
  </si>
  <si>
    <t xml:space="preserve">MIC5209-4.2YS,4.2V, 500mA </t>
  </si>
  <si>
    <t>AN79LO5M-ND,5V,100mA</t>
  </si>
  <si>
    <t>AN78L09M,9V,0.1A</t>
  </si>
  <si>
    <t>LM2940SX-8.0/NOPB, 8V0.1A</t>
  </si>
  <si>
    <t>L79L05ACUTR,-5V,0.1A</t>
  </si>
  <si>
    <t xml:space="preserve">LM2937IMP-12/NOPB,12V,400 mA </t>
  </si>
  <si>
    <t>BD80C0AFPS-E2, LD0,8V,0.1A</t>
  </si>
  <si>
    <t>REG101UA-3,3V 8-SOIC</t>
  </si>
  <si>
    <t xml:space="preserve">TPS79030DBVR,3V50mA </t>
  </si>
  <si>
    <t>L78L06ACUTR,6V,0.1A</t>
  </si>
  <si>
    <t xml:space="preserve">AN8006M,6V,50 mA </t>
  </si>
  <si>
    <t>tps71712dckr,1.2v,0.15A</t>
  </si>
  <si>
    <t>LTC1983ES6-5#TRMPBF,-5V</t>
  </si>
  <si>
    <t xml:space="preserve">REG101NA-2.5/250,2.5V,10mA </t>
  </si>
  <si>
    <t xml:space="preserve">AN8005M-ND,5V,50 mA </t>
  </si>
  <si>
    <t>REG104FA-5KTTT,5V,1A</t>
  </si>
  <si>
    <t>TPS79630KTTT,3.0V,1A</t>
  </si>
  <si>
    <t>L4931ABD50-TR,5V</t>
  </si>
  <si>
    <t>MC78L05ACDG,5V,0.1A</t>
  </si>
  <si>
    <t>AN7708SP,8V,1.2A</t>
  </si>
  <si>
    <t>LM2940S-8.0/NOPB,8V1A</t>
  </si>
  <si>
    <t>LT1761ES5-2.5#TRMPBF,2.5V,100mA</t>
  </si>
  <si>
    <t>TPS7172DCKR,1.2V,0.15A</t>
  </si>
  <si>
    <t>US78M05CDCYR,POS,SOT-223</t>
  </si>
  <si>
    <t>NJM78L05A,5V</t>
  </si>
  <si>
    <t>UA78L05ACD,5V,0.1A</t>
  </si>
  <si>
    <t>L78L0ACUTR,8V,0.1A</t>
  </si>
  <si>
    <t>TPS71713DCKR,1.3V,150mA</t>
  </si>
  <si>
    <t>TPS71715DCKR,1.5V,0.15A</t>
  </si>
  <si>
    <t>L4931ABD35-TR,3.5V,0.25A</t>
  </si>
  <si>
    <t xml:space="preserve">LT1761ES5-3.3#TRMPBF,3.3V,100mA </t>
  </si>
  <si>
    <t>AN79L09M-ND,9V,100mA</t>
  </si>
  <si>
    <t>L4931ABD33-TR,3.3V</t>
  </si>
  <si>
    <t>NJM78L05UA,5V</t>
  </si>
  <si>
    <t>L78M05ABDT-TR,5V,0.5A</t>
  </si>
  <si>
    <t>UA78M05CDCYR</t>
  </si>
  <si>
    <t>PDM2-S24-D5-S,5V,200mA</t>
  </si>
  <si>
    <t>LM2940IMP-15CT-ND</t>
  </si>
  <si>
    <t xml:space="preserve">L4931ABD50-TR,5V,250mA </t>
  </si>
  <si>
    <t>TPS71710DRVR,1.0V,150mA</t>
  </si>
  <si>
    <t>L4931ABD120TR,12V</t>
  </si>
  <si>
    <t>MCP1827T-5002E/ET,5V,1.5A</t>
  </si>
  <si>
    <t>S24SE05006PDFA</t>
  </si>
  <si>
    <t>VFSD1-S12-S12-SIP,12V</t>
  </si>
  <si>
    <t>MCP1804T-3002IMB,150mA,28V</t>
  </si>
  <si>
    <t>L7806ABD2T-TR,6V,1A</t>
  </si>
  <si>
    <t>UA78M08CDCYR,POS 500mA</t>
  </si>
  <si>
    <t>vco</t>
  </si>
  <si>
    <t>HMC506LP4</t>
  </si>
  <si>
    <t>HMC430LP4E,VCO 5.0-5.5GHZ</t>
  </si>
  <si>
    <t>HMC466LP4E,VCO 6.1-6.72GHZ</t>
  </si>
  <si>
    <t>HMC505LP4E,6.8-7.4GHZ</t>
  </si>
  <si>
    <t>HMC390LP4E,3.55-3.90GHZ</t>
  </si>
  <si>
    <t>HMC429LP4E,4.45-5.0GHZ</t>
  </si>
  <si>
    <t>HMC735LP5E,10.5-12.2GHZ</t>
  </si>
  <si>
    <t>ECS-8FMX-122.8-TR,12.288MHZ,5.0V</t>
  </si>
  <si>
    <t>HMC431LP4E</t>
  </si>
  <si>
    <t>HMC435MS8GE</t>
  </si>
  <si>
    <t>HMC416LP4</t>
  </si>
  <si>
    <t>HMC584LP5E</t>
  </si>
  <si>
    <t>HMC389LP4E</t>
  </si>
  <si>
    <t>HMC430LP4E</t>
  </si>
  <si>
    <t>HMC583LP5E</t>
  </si>
  <si>
    <t>HMC385LP4E</t>
  </si>
  <si>
    <t>CVCO55CC-0971-0975</t>
  </si>
  <si>
    <t>SG-531P 22.1184MHZ</t>
  </si>
  <si>
    <t>SG-3030JC 32.7680KB3:ROHS</t>
  </si>
  <si>
    <t>ECS-8FMX-245.7-TR,24.576MHZ</t>
  </si>
  <si>
    <t>HMC736LP4E</t>
  </si>
  <si>
    <t>ECS-8FMX-491.5-TR,49.152 MHZ</t>
  </si>
  <si>
    <t>ECS-2200B-098,9.8304MHZ</t>
  </si>
  <si>
    <t>CSX750ACB125.000MTR,125 MHZ</t>
  </si>
  <si>
    <t>ECS-2100A-120,12MHZ</t>
  </si>
  <si>
    <t>CSX750ACB133.330MTR,133 MHZ</t>
  </si>
  <si>
    <t>ECS-8FM-010-TR,1MHZ</t>
  </si>
  <si>
    <t>CSX750FCC44.00000M-UT,44MHZ</t>
  </si>
  <si>
    <t>ECS-8FMX,49.152MHZ</t>
  </si>
  <si>
    <t>ECS-8FM,1MHZ</t>
  </si>
  <si>
    <t>Part num</t>
  </si>
  <si>
    <t>value (Ohm)</t>
  </si>
  <si>
    <t>footsize(imperial unit)</t>
  </si>
  <si>
    <t>max voltage</t>
  </si>
  <si>
    <t>0402</t>
  </si>
  <si>
    <t>0603</t>
  </si>
  <si>
    <t>1206</t>
  </si>
  <si>
    <t>value</t>
  </si>
  <si>
    <t>2824</t>
  </si>
  <si>
    <t>0805</t>
  </si>
  <si>
    <t xml:space="preserve">22pf </t>
  </si>
  <si>
    <t>T495E227KO16ATE100</t>
  </si>
  <si>
    <t>200k</t>
  </si>
  <si>
    <t>1k</t>
  </si>
  <si>
    <t>numerical</t>
  </si>
  <si>
    <t xml:space="preserve">value </t>
  </si>
  <si>
    <t>68 nh</t>
  </si>
  <si>
    <t xml:space="preserve">82 nh </t>
  </si>
  <si>
    <t>Name</t>
  </si>
  <si>
    <t xml:space="preserve">numerical(pf) </t>
  </si>
  <si>
    <t>MFG:747250-4</t>
  </si>
  <si>
    <t>ZONE:ZONE9</t>
  </si>
  <si>
    <t>WM3862-ND</t>
  </si>
  <si>
    <t>Conn Header 20POS</t>
  </si>
  <si>
    <t>WM7961CT-ND</t>
  </si>
  <si>
    <t>CONN FPC BOTTOM 14POS</t>
  </si>
  <si>
    <t>S7085-ND</t>
  </si>
  <si>
    <t>CONN Header FMAL 34PS</t>
  </si>
  <si>
    <t>S7111-ND</t>
  </si>
  <si>
    <t>CONN HEADER FMAL 16PS</t>
  </si>
  <si>
    <t>H10537-ND</t>
  </si>
  <si>
    <t>CONN RECEPT STR 120PS 1.27MM</t>
  </si>
  <si>
    <t>1939-1900-ND</t>
  </si>
  <si>
    <t>MOLEX HOUSING 3.96mm pitch</t>
  </si>
  <si>
    <t>DIN-Signal</t>
  </si>
  <si>
    <t>09031786901</t>
  </si>
  <si>
    <t>651-1751329</t>
  </si>
  <si>
    <t>10P 3.5mm 90DEG</t>
  </si>
  <si>
    <t>CRCW060356R0FKEA</t>
  </si>
  <si>
    <t>CRCW0603453RFKEA</t>
  </si>
  <si>
    <t>RC0603FR-07402RL</t>
  </si>
  <si>
    <t>CR0603-JW-303ELF</t>
  </si>
  <si>
    <t>30K</t>
  </si>
  <si>
    <t>RC0603FR-07240RL</t>
  </si>
  <si>
    <t>RMCF0603FT40R2</t>
  </si>
  <si>
    <t>CR0603-FX-1503ELF</t>
  </si>
  <si>
    <t>150K</t>
  </si>
  <si>
    <t>RMCF0603FT120K</t>
  </si>
  <si>
    <t>120K</t>
  </si>
  <si>
    <t>RC0603FR-07102KL</t>
  </si>
  <si>
    <t>102K</t>
  </si>
  <si>
    <t>CRCW0805-8871FRT1</t>
  </si>
  <si>
    <t>8.87K</t>
  </si>
  <si>
    <t>RC0603FR-07287RL</t>
  </si>
  <si>
    <t>RC0603FR-07133RL</t>
  </si>
  <si>
    <t>CR0603-FX-3002ELF</t>
  </si>
  <si>
    <t>CR0603-FX-1742ELF</t>
  </si>
  <si>
    <t>17.4K</t>
  </si>
  <si>
    <t>CR0603-FX-2002ELF</t>
  </si>
  <si>
    <t>20K</t>
  </si>
  <si>
    <t>RC0603FR-0727KL</t>
  </si>
  <si>
    <t>27K</t>
  </si>
  <si>
    <t>RC0603FR-074K75L</t>
  </si>
  <si>
    <t>4.75K</t>
  </si>
  <si>
    <t>CR0603-FX-1212ELF</t>
  </si>
  <si>
    <t>12.1K</t>
  </si>
  <si>
    <t>RMCF0603FT28K0</t>
  </si>
  <si>
    <t>28K</t>
  </si>
  <si>
    <t>RMCF00603FT7K15</t>
  </si>
  <si>
    <t>7.15K</t>
  </si>
  <si>
    <t>CR0603-FX-715ELF</t>
  </si>
  <si>
    <t>RC0603FR-072KL</t>
  </si>
  <si>
    <t>2K</t>
  </si>
  <si>
    <t>CRCW060317K4FKEA</t>
  </si>
  <si>
    <t>RMCF0603JT30K0</t>
  </si>
  <si>
    <t>CR0603-FX-1023ELF</t>
  </si>
  <si>
    <t>ESR10EZPF88R7</t>
  </si>
  <si>
    <t>88.7K</t>
  </si>
  <si>
    <t>RC0603FR-0775RL</t>
    <phoneticPr fontId="0" type="noConversion"/>
  </si>
  <si>
    <t>0603</t>
    <phoneticPr fontId="0" type="noConversion"/>
  </si>
  <si>
    <t>RC0603FR-0724R9L</t>
    <phoneticPr fontId="0" type="noConversion"/>
  </si>
  <si>
    <t>RC0603FR-0713RL</t>
    <phoneticPr fontId="0" type="noConversion"/>
  </si>
  <si>
    <t>CR0603-FX-2200ELF</t>
    <phoneticPr fontId="0" type="noConversion"/>
  </si>
  <si>
    <t>RMCF0603FG402R</t>
    <phoneticPr fontId="0" type="noConversion"/>
  </si>
  <si>
    <t>RMCF1206FT249R</t>
    <phoneticPr fontId="0" type="noConversion"/>
  </si>
  <si>
    <t>RC0603FR-07100RL</t>
    <phoneticPr fontId="0" type="noConversion"/>
  </si>
  <si>
    <t>RC0402FR-0720KL</t>
    <phoneticPr fontId="0" type="noConversion"/>
  </si>
  <si>
    <t>20k</t>
    <phoneticPr fontId="0" type="noConversion"/>
  </si>
  <si>
    <t>0402</t>
    <phoneticPr fontId="0" type="noConversion"/>
  </si>
  <si>
    <t>CR0603-FX-1803ELF</t>
    <phoneticPr fontId="0" type="noConversion"/>
  </si>
  <si>
    <t>180k</t>
    <phoneticPr fontId="0" type="noConversion"/>
  </si>
  <si>
    <t>CR0603-FX-2493ELF</t>
    <phoneticPr fontId="0" type="noConversion"/>
  </si>
  <si>
    <t>249k</t>
    <phoneticPr fontId="0" type="noConversion"/>
  </si>
  <si>
    <t>CR0603-FX-1403ELF</t>
    <phoneticPr fontId="0" type="noConversion"/>
  </si>
  <si>
    <t>140k</t>
    <phoneticPr fontId="0" type="noConversion"/>
  </si>
  <si>
    <t>CRCW0805100RFKEA</t>
    <phoneticPr fontId="0" type="noConversion"/>
  </si>
  <si>
    <t>0805</t>
    <phoneticPr fontId="0" type="noConversion"/>
  </si>
  <si>
    <t>RK73H2ATTD4R12F</t>
    <phoneticPr fontId="0" type="noConversion"/>
  </si>
  <si>
    <t>RK73H2ATTD4R99F</t>
    <phoneticPr fontId="0" type="noConversion"/>
  </si>
  <si>
    <t>RC1206FR-07215RL</t>
    <phoneticPr fontId="0" type="noConversion"/>
  </si>
  <si>
    <t>ESR10EZPF88R7</t>
    <phoneticPr fontId="0" type="noConversion"/>
  </si>
  <si>
    <t>RC0603FR-07215RL</t>
    <phoneticPr fontId="0" type="noConversion"/>
  </si>
  <si>
    <t>CRCW0805-2211FRT1</t>
    <phoneticPr fontId="0" type="noConversion"/>
  </si>
  <si>
    <t>2.21k</t>
    <phoneticPr fontId="0" type="noConversion"/>
  </si>
  <si>
    <t>RMCF1206FT82R0</t>
    <phoneticPr fontId="0" type="noConversion"/>
  </si>
  <si>
    <t>RK73Z2ELTD</t>
    <phoneticPr fontId="0" type="noConversion"/>
  </si>
  <si>
    <t>1210</t>
  </si>
  <si>
    <t>RMC1/16K8202FTP</t>
  </si>
  <si>
    <t>82K</t>
  </si>
  <si>
    <t>RK73H2ATTD3R16F</t>
  </si>
  <si>
    <t>CR0603-FX-3601ELF</t>
  </si>
  <si>
    <t>3.6K</t>
  </si>
  <si>
    <t>ERJ-3EKF3601V</t>
  </si>
  <si>
    <t>RK73H1JTTD1500F</t>
  </si>
  <si>
    <t>RMCF1206FT113R</t>
  </si>
  <si>
    <t>RK73H1JTTD4991F</t>
  </si>
  <si>
    <t>4.99K</t>
  </si>
  <si>
    <t>RC0603FR-0710RL</t>
  </si>
  <si>
    <t>CRCW0805402RFKEA</t>
  </si>
  <si>
    <t>MCR10EZHF1501</t>
  </si>
  <si>
    <t>1.5K</t>
  </si>
  <si>
    <t>MRMCF1206FT267R</t>
  </si>
  <si>
    <t>RC1608F510CS</t>
  </si>
  <si>
    <t>MCR10EZHF1002</t>
  </si>
  <si>
    <t>10K</t>
  </si>
  <si>
    <t>RC0805JR-0715RL</t>
  </si>
  <si>
    <t>CRCW080556R0FKEA</t>
  </si>
  <si>
    <t>RC1206FR-07220RL</t>
  </si>
  <si>
    <t>RMCF1206JT1K30</t>
  </si>
  <si>
    <t>1.3K</t>
  </si>
  <si>
    <t>CRCW0603100RFKTA</t>
  </si>
  <si>
    <t>C0402C101J3GACTU</t>
  </si>
  <si>
    <t>100pF</t>
  </si>
  <si>
    <t>ECD-G0ER909</t>
  </si>
  <si>
    <t>ECD-G0E1R8B</t>
  </si>
  <si>
    <t>B37923K5030B960</t>
  </si>
  <si>
    <t>50V</t>
  </si>
  <si>
    <t>CRM1555C1H101JA01D</t>
  </si>
  <si>
    <t>100PF</t>
  </si>
  <si>
    <t>CRM155R60J475ME47D</t>
  </si>
  <si>
    <t>0402YC104MAT2A</t>
  </si>
  <si>
    <t>251R14S4R7CV4T</t>
  </si>
  <si>
    <t>C3216X5R1C336M</t>
  </si>
  <si>
    <t>GRM32ER61E226KE15L</t>
  </si>
  <si>
    <t>TAJW107K006RNJ</t>
  </si>
  <si>
    <t>TMK325B7226KMHP</t>
  </si>
  <si>
    <t>C3216X5R1E476M160AC</t>
  </si>
  <si>
    <t>EEE-FC0J220R</t>
  </si>
  <si>
    <t>GMK316F106ZL-T</t>
  </si>
  <si>
    <t>30V</t>
  </si>
  <si>
    <t>GRM21BC81C226ME44L</t>
  </si>
  <si>
    <t>08055A100JAT2A</t>
  </si>
  <si>
    <t>10PF</t>
  </si>
  <si>
    <t>C2012X5R1V156M125AC</t>
  </si>
  <si>
    <t>C0805C821J5GACTU</t>
  </si>
  <si>
    <t>GRM2165C1H332JA01D</t>
  </si>
  <si>
    <t>SQCAEM0R1BAJME</t>
  </si>
  <si>
    <t>MCU0805PD2002DP500</t>
  </si>
  <si>
    <t>CR0805-FX-8451ELF</t>
  </si>
  <si>
    <t>8.45K</t>
  </si>
  <si>
    <t>CR0603-FX-8451ELF</t>
  </si>
  <si>
    <t>CRCW080556R2FKEA</t>
  </si>
  <si>
    <t>ECJ-2VC1H391J</t>
  </si>
  <si>
    <t>C0805C105K4RACTU</t>
  </si>
  <si>
    <t>ECJ-2VC1H270J</t>
  </si>
  <si>
    <t>CL21A476MQYNNNE</t>
  </si>
  <si>
    <t>MF-NSMF 110-2</t>
  </si>
  <si>
    <t>FUSE</t>
  </si>
  <si>
    <t>Part Num</t>
  </si>
  <si>
    <t>Current</t>
  </si>
  <si>
    <t>Voltage</t>
  </si>
  <si>
    <t>footprint</t>
  </si>
  <si>
    <t>1.1A</t>
  </si>
  <si>
    <t>6V</t>
  </si>
  <si>
    <t>C1Q 1.5</t>
  </si>
  <si>
    <t>1.5A</t>
  </si>
  <si>
    <t>125V</t>
  </si>
  <si>
    <t>RC1608F9532CS</t>
  </si>
  <si>
    <t>95.3K</t>
  </si>
  <si>
    <t>MF-NSMF 110 -2</t>
  </si>
  <si>
    <t>1.10A</t>
  </si>
  <si>
    <t>MF-NSMF050-2</t>
  </si>
  <si>
    <t>500mA</t>
  </si>
  <si>
    <t>13.2V</t>
  </si>
  <si>
    <t>MF-NSMF012-2</t>
  </si>
  <si>
    <t>0.12A</t>
  </si>
  <si>
    <t>FC0603E50R</t>
  </si>
  <si>
    <t>FC0402E1000BST1</t>
  </si>
  <si>
    <t>CH0402-250RGF</t>
  </si>
  <si>
    <t>FC0603E5050BST1</t>
  </si>
  <si>
    <t>F951C106MSAAQ2</t>
  </si>
  <si>
    <t>ADG719BRTZ-REEL7</t>
  </si>
  <si>
    <t>CH0402-500RGFPT</t>
  </si>
  <si>
    <t>504L2000FTNCFT</t>
  </si>
  <si>
    <t>74AHC164BQ,115</t>
  </si>
  <si>
    <t>Logic Gates</t>
  </si>
  <si>
    <t>MC100LVEP05MNTXG</t>
  </si>
  <si>
    <t>CH0402-150RGF</t>
  </si>
  <si>
    <t>TZR1Z010A001R00</t>
  </si>
  <si>
    <t>RC0603JR-070RL</t>
  </si>
  <si>
    <t>RC0603JR-0791RL</t>
  </si>
  <si>
    <t>RC1206FR-07165RL</t>
  </si>
  <si>
    <t>CR2512-J/-000ELF</t>
  </si>
  <si>
    <t>CR0603-FX-1621ELF</t>
  </si>
  <si>
    <t>1.62k</t>
  </si>
  <si>
    <t>MCT06030C1004FP500</t>
  </si>
  <si>
    <t>1M</t>
  </si>
  <si>
    <t>RR0510P-2870-D</t>
  </si>
  <si>
    <t>CRCW080543R2FKEA</t>
  </si>
  <si>
    <t>ERJ-6RQF3R9V</t>
  </si>
  <si>
    <t>MCR03ERTTF4122</t>
  </si>
  <si>
    <t>41.2k</t>
  </si>
  <si>
    <t>MCR18EZHF2430</t>
  </si>
  <si>
    <t>ERJ-8ENF47ROV</t>
  </si>
  <si>
    <t>RMCF0603FT62K0</t>
  </si>
  <si>
    <t>62k</t>
  </si>
  <si>
    <t>RC1206FR-07470RL</t>
  </si>
  <si>
    <t>ERJ-2RKF2871X</t>
  </si>
  <si>
    <t>2.87k</t>
  </si>
  <si>
    <t>ERJ-2RKF4991X</t>
  </si>
  <si>
    <t>4.99k</t>
  </si>
  <si>
    <t>MCR18EZPF1001</t>
  </si>
  <si>
    <t>ERJ-3EKF10R0V</t>
  </si>
  <si>
    <t>RC1206FR-0760R4L</t>
  </si>
  <si>
    <t>MCR03ERTF2001</t>
  </si>
  <si>
    <t>2k</t>
  </si>
  <si>
    <t>MCR01MRTF1001</t>
  </si>
  <si>
    <t>MCR18EZPJ101</t>
  </si>
  <si>
    <t>MCR03ERTF2003</t>
  </si>
  <si>
    <t>ECJ-1VC1H101J</t>
  </si>
  <si>
    <t>251R14S4R7BV4T</t>
  </si>
  <si>
    <t>CL10A475KP8NNNC</t>
  </si>
  <si>
    <t>GRM188R60J225KE19D</t>
  </si>
  <si>
    <t>LMK107BJ225KA-T</t>
  </si>
  <si>
    <t>CC0603JRNP09BN680</t>
  </si>
  <si>
    <t>251R14S6R8CV4T</t>
  </si>
  <si>
    <t>GRM188R71H104KA93D</t>
  </si>
  <si>
    <t>C0603C560J5GACTU</t>
  </si>
  <si>
    <t>C0603C569D5GACTM</t>
  </si>
  <si>
    <t>0603N470F500CT</t>
  </si>
  <si>
    <t>0603N680F500CT</t>
  </si>
  <si>
    <t>CC0603KRX7R9BB501</t>
  </si>
  <si>
    <t>ECJ-1VB1E103K</t>
  </si>
  <si>
    <t>251R14S0R3BV4T</t>
  </si>
  <si>
    <t>251R14S0R9BV4T</t>
  </si>
  <si>
    <t>251R14S5R6CV4T</t>
  </si>
  <si>
    <t>GRM155R71H102KA01D</t>
  </si>
  <si>
    <t>MF--NSMF035-2</t>
  </si>
  <si>
    <t>C1Q 500</t>
  </si>
  <si>
    <t>MF-NSMF075-2</t>
  </si>
  <si>
    <t>C1Q 750</t>
  </si>
  <si>
    <t>C1Q 375</t>
  </si>
  <si>
    <t>0.35A</t>
  </si>
  <si>
    <t>750mA</t>
  </si>
  <si>
    <t>375mA</t>
  </si>
  <si>
    <t>Switchs</t>
  </si>
  <si>
    <t>ISL43210IHZ-T</t>
  </si>
  <si>
    <t>PE42420LGBB-Z</t>
  </si>
  <si>
    <t>PE4251MLI-Z</t>
  </si>
  <si>
    <t>PE42420C-Z</t>
  </si>
  <si>
    <t>ISL433210IHZ-T</t>
  </si>
  <si>
    <t>TS5A3359DCUR</t>
  </si>
  <si>
    <t>PE42520MLBA-Z</t>
  </si>
  <si>
    <t>PE424442A-Z</t>
  </si>
  <si>
    <t>SKY13588-460LF</t>
  </si>
  <si>
    <t>TS5A23159RSER</t>
  </si>
  <si>
    <t>inductor</t>
  </si>
  <si>
    <t>LQW18AN12NJ00D</t>
  </si>
  <si>
    <t>12 nh</t>
  </si>
  <si>
    <t>LQP03TG0N4B02D</t>
  </si>
  <si>
    <t>0.4NH</t>
  </si>
  <si>
    <t>BLM21PG221SN1D</t>
  </si>
  <si>
    <t>MLK1005SR15J</t>
  </si>
  <si>
    <t>3.58NH</t>
  </si>
  <si>
    <t>IHHP1008ABER1R5M01</t>
  </si>
  <si>
    <t>1.5UH</t>
  </si>
  <si>
    <t>SRR7045-102M</t>
  </si>
  <si>
    <t>1000 UH</t>
  </si>
  <si>
    <t>NLCV32T-R10M-PFR</t>
  </si>
  <si>
    <t>100NH</t>
  </si>
  <si>
    <t>VLP8040T-2R2N</t>
  </si>
  <si>
    <t>2.2UH</t>
  </si>
  <si>
    <t>SRP4020TA-1R5M</t>
  </si>
  <si>
    <t>CURRENT</t>
  </si>
  <si>
    <t>4.5 A</t>
  </si>
  <si>
    <t>1624112-8</t>
  </si>
  <si>
    <t>68 NH</t>
  </si>
  <si>
    <t xml:space="preserve">600 mA </t>
  </si>
  <si>
    <t>L-14C39NJV4T</t>
  </si>
  <si>
    <t>39NH</t>
  </si>
  <si>
    <t xml:space="preserve">300 mA </t>
  </si>
  <si>
    <t>12NH</t>
  </si>
  <si>
    <t>BLM21BD272SN1L</t>
  </si>
  <si>
    <t>LQW18AN8N2D00D</t>
  </si>
  <si>
    <t>8.2 NH</t>
  </si>
  <si>
    <t xml:space="preserve">650 mA </t>
  </si>
  <si>
    <t>B82496C3121J</t>
  </si>
  <si>
    <t>120NH</t>
  </si>
  <si>
    <t>0.16A</t>
  </si>
  <si>
    <t>MLF2012A3R3KT000</t>
  </si>
  <si>
    <t>3.3UH</t>
  </si>
  <si>
    <t>L0603C1N0SRMST</t>
  </si>
  <si>
    <t>1NH</t>
  </si>
  <si>
    <t>300mA</t>
  </si>
  <si>
    <t xml:space="preserve">600mA </t>
  </si>
  <si>
    <t>EPL2014-472MLB</t>
  </si>
  <si>
    <t>BLM21AG221BH1D</t>
  </si>
  <si>
    <t>LQW18ANR10J00D</t>
  </si>
  <si>
    <t xml:space="preserve">220 mA </t>
  </si>
  <si>
    <t>LQW18AN5N6D00D</t>
  </si>
  <si>
    <t>5.6 NH</t>
  </si>
  <si>
    <t xml:space="preserve">750 mA </t>
  </si>
  <si>
    <t>cim21j222ne</t>
  </si>
  <si>
    <t>2.2k</t>
  </si>
  <si>
    <t>Ferrite bead</t>
  </si>
  <si>
    <t>P/N</t>
  </si>
  <si>
    <t>Ohm</t>
  </si>
  <si>
    <t>footsize</t>
  </si>
  <si>
    <t>LQW18AN2N2D10D</t>
    <phoneticPr fontId="3" type="noConversion"/>
  </si>
  <si>
    <t>LQW18AN12NJ00D</t>
    <phoneticPr fontId="3" type="noConversion"/>
  </si>
  <si>
    <t>LQW18AN36NG00D</t>
    <phoneticPr fontId="3" type="noConversion"/>
  </si>
  <si>
    <t>LQW18AN68NJ00D</t>
    <phoneticPr fontId="3" type="noConversion"/>
  </si>
  <si>
    <t>MLK1005SR15JT000</t>
    <phoneticPr fontId="3" type="noConversion"/>
  </si>
  <si>
    <t>MLK1005S22NJT000</t>
    <phoneticPr fontId="3" type="noConversion"/>
  </si>
  <si>
    <t>B82496C3270J</t>
    <phoneticPr fontId="3" type="noConversion"/>
  </si>
  <si>
    <t>LQW18ANR10J00D</t>
    <phoneticPr fontId="3" type="noConversion"/>
  </si>
  <si>
    <t>LQW18AN43NJ00D</t>
    <phoneticPr fontId="3" type="noConversion"/>
  </si>
  <si>
    <t>B82496C3479J</t>
    <phoneticPr fontId="3" type="noConversion"/>
  </si>
  <si>
    <t>LQP15MN22NGO2D</t>
    <phoneticPr fontId="3" type="noConversion"/>
  </si>
  <si>
    <t>LQW18AN30NG00D</t>
    <phoneticPr fontId="3" type="noConversion"/>
  </si>
  <si>
    <t>LQW18AN8N2D00D</t>
    <phoneticPr fontId="3" type="noConversion"/>
  </si>
  <si>
    <t>L-14C39NJV4T</t>
    <phoneticPr fontId="3" type="noConversion"/>
  </si>
  <si>
    <t>L-14C18NJV4T</t>
    <phoneticPr fontId="3" type="noConversion"/>
  </si>
  <si>
    <t>1-1624112-0</t>
    <phoneticPr fontId="3" type="noConversion"/>
  </si>
  <si>
    <t>100 nF</t>
  </si>
  <si>
    <t>47 pF</t>
  </si>
  <si>
    <t>68 pF</t>
  </si>
  <si>
    <t>10 pF</t>
  </si>
  <si>
    <t>251R14S0R2AV4T</t>
  </si>
  <si>
    <t>0.2 pF</t>
  </si>
  <si>
    <t>0.3 pF</t>
  </si>
  <si>
    <t>0.9 pF</t>
  </si>
  <si>
    <t>4.7 pF</t>
  </si>
  <si>
    <t>5.6 pF</t>
  </si>
  <si>
    <t>6.8 pF</t>
  </si>
  <si>
    <t>3 pF</t>
  </si>
  <si>
    <t>56 pF</t>
  </si>
  <si>
    <t>1.0 µF</t>
  </si>
  <si>
    <t>820 pF</t>
  </si>
  <si>
    <t>C1608X5R0J106K080AB</t>
  </si>
  <si>
    <t>10 µF</t>
  </si>
  <si>
    <t>15 µF</t>
  </si>
  <si>
    <t>33 µF</t>
  </si>
  <si>
    <t>47 µF</t>
  </si>
  <si>
    <t>500 pF</t>
  </si>
  <si>
    <t>CC1206MKX5R7BB226</t>
  </si>
  <si>
    <t>22 µF</t>
  </si>
  <si>
    <t>4.7 µF</t>
  </si>
  <si>
    <t>1.8 pF</t>
  </si>
  <si>
    <t>10 nF</t>
  </si>
  <si>
    <t>27 pF</t>
  </si>
  <si>
    <t>390 pF</t>
  </si>
  <si>
    <t>SMD Can</t>
  </si>
  <si>
    <t>3216 (A)</t>
  </si>
  <si>
    <t>1.0 nF</t>
  </si>
  <si>
    <t>2.2 µF</t>
  </si>
  <si>
    <t>3.3 nF</t>
  </si>
  <si>
    <t>0.1 pF</t>
  </si>
  <si>
    <t>1210 (W)</t>
  </si>
  <si>
    <t>100 µF</t>
  </si>
  <si>
    <t>Trimmer</t>
  </si>
  <si>
    <t>1 pF</t>
  </si>
  <si>
    <t>quantity</t>
  </si>
  <si>
    <t>quanitity</t>
  </si>
  <si>
    <t>HMC388LP4E</t>
  </si>
  <si>
    <t>package</t>
  </si>
  <si>
    <t>HMC532LP4E</t>
  </si>
  <si>
    <t>CUT&amp;TAP</t>
  </si>
  <si>
    <t>HMC506LP4ETR</t>
  </si>
  <si>
    <t>NON</t>
  </si>
  <si>
    <t>ROS-80-7119+</t>
  </si>
  <si>
    <t>HMC429LP4ERT</t>
  </si>
  <si>
    <t>HMC391LP4E</t>
  </si>
  <si>
    <t>HMC654LP2E</t>
  </si>
  <si>
    <t>NUMBER</t>
  </si>
  <si>
    <t>HMC653LP2ETR</t>
  </si>
  <si>
    <t>HMC220AMS8ETR</t>
  </si>
  <si>
    <t>reel and cut&amp;tap</t>
  </si>
  <si>
    <t>HMC466LP4E</t>
  </si>
  <si>
    <t>cut&amp;tap</t>
  </si>
  <si>
    <t>ROS-70-119+</t>
  </si>
  <si>
    <t>ADE-11X+</t>
  </si>
  <si>
    <t>ADE-1LH+</t>
  </si>
  <si>
    <t>MAR-3+</t>
  </si>
  <si>
    <t>REEL</t>
  </si>
  <si>
    <t>SALF-78</t>
  </si>
  <si>
    <t>MCA1-85L+</t>
  </si>
  <si>
    <t>MCA1-12G+</t>
  </si>
  <si>
    <t>SYM-63LH+</t>
  </si>
  <si>
    <t>GALI-74+</t>
  </si>
  <si>
    <t>GALI-3+</t>
  </si>
  <si>
    <t>MCA1-85+</t>
  </si>
  <si>
    <t>ADEX-10H+</t>
  </si>
  <si>
    <t>HMC412AMS8GE</t>
  </si>
  <si>
    <t>GALI-6+</t>
  </si>
  <si>
    <t>ERA-33SM+</t>
  </si>
  <si>
    <t>GALI-51+</t>
  </si>
  <si>
    <t>GALI-39+</t>
  </si>
  <si>
    <t>GALI-S66+</t>
  </si>
  <si>
    <t>CUT-TAP</t>
  </si>
  <si>
    <t>GALI-1+</t>
  </si>
  <si>
    <t>GALI-5F+</t>
  </si>
  <si>
    <t xml:space="preserve"> </t>
  </si>
  <si>
    <t>100+10+4</t>
  </si>
  <si>
    <t>50+8</t>
  </si>
  <si>
    <t>REG101NA-3/250</t>
  </si>
  <si>
    <t>HMC220AMS8ETR</t>
    <phoneticPr fontId="4" type="noConversion"/>
  </si>
  <si>
    <t>CT</t>
    <phoneticPr fontId="4" type="noConversion"/>
  </si>
  <si>
    <t>MCA1-80LH+</t>
    <phoneticPr fontId="4" type="noConversion"/>
  </si>
  <si>
    <t>MCA1-85+</t>
    <phoneticPr fontId="4" type="noConversion"/>
  </si>
  <si>
    <t>REEL &amp; INDIVIDUAL</t>
    <phoneticPr fontId="4" type="noConversion"/>
  </si>
  <si>
    <t>RCAT-07+</t>
    <phoneticPr fontId="4" type="noConversion"/>
  </si>
  <si>
    <t>SYM-63LH+</t>
    <phoneticPr fontId="4" type="noConversion"/>
  </si>
  <si>
    <t>SKY-42+</t>
    <phoneticPr fontId="4" type="noConversion"/>
  </si>
  <si>
    <t>CT &amp; REEL</t>
    <phoneticPr fontId="4" type="noConversion"/>
  </si>
  <si>
    <t>SYIQ-895D+</t>
    <phoneticPr fontId="4" type="noConversion"/>
  </si>
  <si>
    <t>HMC734LP5E_8.6~10.2GHz</t>
  </si>
  <si>
    <t>HMC941ALP4E</t>
    <phoneticPr fontId="4" type="noConversion"/>
  </si>
  <si>
    <t>HMC270MS8GE</t>
    <phoneticPr fontId="4" type="noConversion"/>
  </si>
  <si>
    <t>HMC430LP4ETR</t>
  </si>
  <si>
    <t>HMC742ALP5ETR</t>
    <phoneticPr fontId="4" type="noConversion"/>
  </si>
  <si>
    <t>HMC374SC70E</t>
    <phoneticPr fontId="4" type="noConversion"/>
  </si>
  <si>
    <t>HMC424LP3E</t>
    <phoneticPr fontId="4" type="noConversion"/>
  </si>
  <si>
    <t>HMC553LC3B</t>
    <phoneticPr fontId="4" type="noConversion"/>
  </si>
  <si>
    <t>HMC772LC4</t>
    <phoneticPr fontId="4" type="noConversion"/>
  </si>
  <si>
    <t>HMC412AMS8GE</t>
    <phoneticPr fontId="4" type="noConversion"/>
  </si>
  <si>
    <t>HMC652LP2E</t>
    <phoneticPr fontId="4" type="noConversion"/>
  </si>
  <si>
    <t>HMC653LP2E</t>
    <phoneticPr fontId="4" type="noConversion"/>
  </si>
  <si>
    <t>HMC677LP5E</t>
    <phoneticPr fontId="4" type="noConversion"/>
  </si>
  <si>
    <t>HMC284MS8GE</t>
    <phoneticPr fontId="4" type="noConversion"/>
  </si>
  <si>
    <t>HMC239AS8E</t>
    <phoneticPr fontId="4" type="noConversion"/>
  </si>
  <si>
    <t>HMC219MS8</t>
    <phoneticPr fontId="4" type="noConversion"/>
  </si>
  <si>
    <t xml:space="preserve">reel </t>
  </si>
  <si>
    <t>number</t>
  </si>
  <si>
    <t>Amplifier</t>
  </si>
  <si>
    <t>Function</t>
  </si>
  <si>
    <t>Num</t>
  </si>
  <si>
    <t>num</t>
  </si>
  <si>
    <t>HFCN-4400+</t>
  </si>
  <si>
    <t>NUM</t>
  </si>
  <si>
    <t>LFCN-7200+</t>
  </si>
  <si>
    <t>LFCN-6000+</t>
  </si>
  <si>
    <t>HFCN-6010+</t>
  </si>
  <si>
    <t>LFCN-120+</t>
  </si>
  <si>
    <t>HFCN-1810+</t>
  </si>
  <si>
    <t>LFCN-3000+</t>
  </si>
  <si>
    <t>HFCN-160+</t>
  </si>
  <si>
    <t>10+15</t>
  </si>
  <si>
    <t>HFCN-7150+</t>
  </si>
  <si>
    <t>HFCN-3500+</t>
  </si>
  <si>
    <t>LFCG-42+</t>
  </si>
  <si>
    <t>LFCN-400+</t>
  </si>
  <si>
    <t>10+30</t>
  </si>
  <si>
    <t>HFCN-5500D+</t>
  </si>
  <si>
    <t>HFCN-5500+</t>
  </si>
  <si>
    <t>SCLF-4.7+</t>
  </si>
  <si>
    <t>HFCN-1760+</t>
  </si>
  <si>
    <t>SCLF-44+</t>
  </si>
  <si>
    <t>LFCN-190+</t>
  </si>
  <si>
    <t>HFCN-1500+</t>
  </si>
  <si>
    <t>LFCN-6700+</t>
  </si>
  <si>
    <t>SCLF-45+</t>
  </si>
  <si>
    <t>PHP-25+</t>
  </si>
  <si>
    <t>LFCN-105+</t>
  </si>
  <si>
    <t>EHA-163L+</t>
  </si>
  <si>
    <t>GALI-19+</t>
  </si>
  <si>
    <t>HFCN-3800+</t>
  </si>
  <si>
    <t>HFCN-8400</t>
  </si>
  <si>
    <t>HFCN-8400+</t>
  </si>
  <si>
    <t>LFCN-3400+</t>
  </si>
  <si>
    <t>LFCN-4400+</t>
  </si>
  <si>
    <t>LFCN-123+</t>
  </si>
  <si>
    <t>4+10</t>
  </si>
  <si>
    <t xml:space="preserve">4+4+9                                                                                                                                                                                                          </t>
  </si>
  <si>
    <t>LFCN-5000+</t>
  </si>
  <si>
    <t>HMC429LP4E</t>
  </si>
  <si>
    <t>9+5</t>
  </si>
  <si>
    <t>HMC388LP4</t>
  </si>
  <si>
    <t>HMC506LP4E</t>
  </si>
  <si>
    <t>HFCN-3500+</t>
    <phoneticPr fontId="1" type="noConversion"/>
  </si>
  <si>
    <t>HFCN-1600D+</t>
    <phoneticPr fontId="1" type="noConversion"/>
  </si>
  <si>
    <t>LFCW-1062+</t>
    <phoneticPr fontId="1" type="noConversion"/>
  </si>
  <si>
    <t>LFCN-225+</t>
    <phoneticPr fontId="1" type="noConversion"/>
  </si>
  <si>
    <t>LFCN-120+</t>
    <phoneticPr fontId="1" type="noConversion"/>
  </si>
  <si>
    <t>HFCN-1810+</t>
    <phoneticPr fontId="1" type="noConversion"/>
  </si>
  <si>
    <t>LFCW-1142+</t>
    <phoneticPr fontId="1" type="noConversion"/>
  </si>
  <si>
    <t>HFCN-5500D+</t>
    <phoneticPr fontId="1" type="noConversion"/>
  </si>
  <si>
    <t>LFCN-180+</t>
    <phoneticPr fontId="1" type="noConversion"/>
  </si>
  <si>
    <t>LFCN-7200+</t>
    <phoneticPr fontId="1" type="noConversion"/>
  </si>
  <si>
    <t>HFCN-880+</t>
    <phoneticPr fontId="1" type="noConversion"/>
  </si>
  <si>
    <t>HFCN-4400+</t>
    <phoneticPr fontId="1" type="noConversion"/>
  </si>
  <si>
    <t>XLF-252+</t>
    <phoneticPr fontId="1" type="noConversion"/>
  </si>
  <si>
    <t>HFCN-6010+</t>
    <phoneticPr fontId="1" type="noConversion"/>
  </si>
  <si>
    <t>SALF-78</t>
    <phoneticPr fontId="1" type="noConversion"/>
  </si>
  <si>
    <t>SCLF-4.7+</t>
    <phoneticPr fontId="1" type="noConversion"/>
  </si>
  <si>
    <t>LFCN-320+</t>
    <phoneticPr fontId="1" type="noConversion"/>
  </si>
  <si>
    <t>LPF-B0R3+</t>
    <phoneticPr fontId="1" type="noConversion"/>
  </si>
  <si>
    <t>HFCN-5500+</t>
    <phoneticPr fontId="1" type="noConversion"/>
  </si>
  <si>
    <t>LFCN-1000+</t>
    <phoneticPr fontId="1" type="noConversion"/>
  </si>
  <si>
    <t>HFCN-2275+</t>
    <phoneticPr fontId="1" type="noConversion"/>
  </si>
  <si>
    <t>HFCN-3800+</t>
    <phoneticPr fontId="1" type="noConversion"/>
  </si>
  <si>
    <t>HFCN-3800D+</t>
    <phoneticPr fontId="1" type="noConversion"/>
  </si>
  <si>
    <t>LFCN-3400+</t>
    <phoneticPr fontId="1" type="noConversion"/>
  </si>
  <si>
    <t>HFCN-4400D+</t>
    <phoneticPr fontId="1" type="noConversion"/>
  </si>
  <si>
    <t>HFCN-3100D+</t>
    <phoneticPr fontId="1" type="noConversion"/>
  </si>
  <si>
    <t>HFCN-1910D+</t>
    <phoneticPr fontId="1" type="noConversion"/>
  </si>
  <si>
    <t>LFCN-5000+</t>
    <phoneticPr fontId="1" type="noConversion"/>
  </si>
  <si>
    <t>LFCN-8400+</t>
    <phoneticPr fontId="1" type="noConversion"/>
  </si>
  <si>
    <t>LFCN-4400+</t>
    <phoneticPr fontId="1" type="noConversion"/>
  </si>
  <si>
    <t>LFCN-2850+</t>
    <phoneticPr fontId="1" type="noConversion"/>
  </si>
  <si>
    <t>C1608X7R1E104K</t>
    <phoneticPr fontId="1" type="noConversion"/>
  </si>
  <si>
    <t>0603</t>
    <phoneticPr fontId="1" type="noConversion"/>
  </si>
  <si>
    <t>06035C103KAT2A</t>
    <phoneticPr fontId="1" type="noConversion"/>
  </si>
  <si>
    <t>ECJ-1VB1H103K</t>
    <phoneticPr fontId="1" type="noConversion"/>
  </si>
  <si>
    <t>ECJ1VB1E104K</t>
    <phoneticPr fontId="1" type="noConversion"/>
  </si>
  <si>
    <t>603YC104KAT2A</t>
    <phoneticPr fontId="1" type="noConversion"/>
  </si>
  <si>
    <t>0505</t>
  </si>
  <si>
    <t>0.1uf</t>
  </si>
  <si>
    <t>1000pf</t>
  </si>
  <si>
    <t>RC0603FR0749R9L</t>
    <phoneticPr fontId="1" type="noConversion"/>
  </si>
  <si>
    <t>RMCF0603FT49R9</t>
    <phoneticPr fontId="1" type="noConversion"/>
  </si>
  <si>
    <t>RMCF 1/16 1K 5% R</t>
    <phoneticPr fontId="1" type="noConversion"/>
  </si>
  <si>
    <t>1K</t>
    <phoneticPr fontId="1" type="noConversion"/>
  </si>
  <si>
    <t>ERA-3AEB102V</t>
    <phoneticPr fontId="1" type="noConversion"/>
  </si>
  <si>
    <t>RMCF0603FT1K00</t>
    <phoneticPr fontId="1" type="noConversion"/>
  </si>
  <si>
    <t>C1005X7R1H104K050BB</t>
  </si>
  <si>
    <t>RC0402JR-070RL</t>
  </si>
  <si>
    <t>TMK212BBJ106KGT</t>
  </si>
  <si>
    <t>10uf</t>
  </si>
  <si>
    <t>C0603C103K5RACTU</t>
  </si>
  <si>
    <t>10NF</t>
  </si>
  <si>
    <t>CC0603ZRY5V7BB105</t>
  </si>
  <si>
    <t>1UF</t>
  </si>
  <si>
    <t>RC0603FR-073K32L</t>
  </si>
  <si>
    <t>3.32K</t>
  </si>
  <si>
    <t>RC0603FR-0710KL</t>
  </si>
  <si>
    <t>LQW18AN2N2D00D</t>
  </si>
  <si>
    <t>2.2 nH</t>
  </si>
  <si>
    <t>12 nH</t>
  </si>
  <si>
    <t>36 nH</t>
  </si>
  <si>
    <t>68 nH</t>
  </si>
  <si>
    <t>15 nH</t>
  </si>
  <si>
    <t>22 nH</t>
  </si>
  <si>
    <t>27 nH</t>
  </si>
  <si>
    <t>0.10 Ω</t>
  </si>
  <si>
    <t>43 nH</t>
  </si>
  <si>
    <t>47 nH</t>
  </si>
  <si>
    <t>30 nH</t>
  </si>
  <si>
    <t>8.2 nH</t>
  </si>
  <si>
    <t>22 µH</t>
  </si>
  <si>
    <t>39 nH</t>
  </si>
  <si>
    <t>18 nH</t>
  </si>
  <si>
    <t>—</t>
  </si>
  <si>
    <t>SRN6045-220M</t>
  </si>
  <si>
    <t>S1812-103K</t>
  </si>
  <si>
    <t>10 µH</t>
  </si>
  <si>
    <t xml:space="preserve">330 mA </t>
  </si>
  <si>
    <t>0603 (1608 metric) SMD</t>
  </si>
  <si>
    <t>0402 (1005 metric) SMD</t>
  </si>
  <si>
    <t>0805 SMD</t>
  </si>
  <si>
    <t>Axial / Leaded</t>
  </si>
  <si>
    <t>6045 SMD</t>
  </si>
  <si>
    <t>Connector</t>
  </si>
  <si>
    <t>1812 SMD</t>
  </si>
  <si>
    <t>RR1220P-102-D</t>
  </si>
  <si>
    <t>1K</t>
  </si>
  <si>
    <t>RR1220P-681-D</t>
  </si>
  <si>
    <t>RMCF0805JT100RTR-ND</t>
  </si>
  <si>
    <t>RMCF1/10515%RTR-ND</t>
  </si>
  <si>
    <t>RMCF0805JT51ROTR-ND</t>
  </si>
  <si>
    <t>RC0805FR-0749R9L</t>
  </si>
  <si>
    <t>RMCF0805ZTOR00</t>
  </si>
  <si>
    <t>RMCF1/101KJRTR-ND</t>
  </si>
  <si>
    <t>?</t>
  </si>
  <si>
    <t>10k</t>
  </si>
  <si>
    <t>JBEVD05/0338</t>
  </si>
  <si>
    <t>RHM49.9CTR-ND</t>
  </si>
  <si>
    <t>RNCP0805FTD4R70TR-ND</t>
  </si>
  <si>
    <t>RC0603JR-072KTL</t>
  </si>
  <si>
    <t>2.7K</t>
  </si>
  <si>
    <t>311-4.99KHRTR-ND</t>
  </si>
  <si>
    <t>RC0603FR-071K54L</t>
  </si>
  <si>
    <t>1.54K</t>
  </si>
  <si>
    <t>NRC10J332TR</t>
  </si>
  <si>
    <t>3.3K</t>
  </si>
  <si>
    <t>RC0603FR07453RL</t>
  </si>
  <si>
    <t>RR1220P-304-D</t>
  </si>
  <si>
    <t>300K</t>
  </si>
  <si>
    <t>RC0805FR-0720KL</t>
  </si>
  <si>
    <t>RMCF0805JT10KOTR-ND</t>
  </si>
  <si>
    <t>RMCF1/1010KJRTR-ND</t>
  </si>
  <si>
    <t>RHM10.0KCTR-ND</t>
  </si>
  <si>
    <t>RMCF1/8470JRTR-ND</t>
  </si>
  <si>
    <t>470K</t>
  </si>
  <si>
    <t>RK73H2BTTD1130F</t>
  </si>
  <si>
    <t>311-60.4FRTR-ND</t>
  </si>
  <si>
    <t>311-60.4FRDKR-ND</t>
  </si>
  <si>
    <t>RC1206JR-0730RL</t>
  </si>
  <si>
    <t>490-1741-2-ND</t>
  </si>
  <si>
    <t>2.2UF</t>
  </si>
  <si>
    <t>GRM21BF51C225ZA01L</t>
  </si>
  <si>
    <t>GRM21BR71C105MA01L</t>
  </si>
  <si>
    <t>1.0UF</t>
  </si>
  <si>
    <t>500R15N270KV4T</t>
  </si>
  <si>
    <t>27pF</t>
  </si>
  <si>
    <t>C0805C103K5RAC7800</t>
  </si>
  <si>
    <t>0.01UF</t>
  </si>
  <si>
    <t>311-1140-2-ND</t>
  </si>
  <si>
    <t>0.1UF</t>
  </si>
  <si>
    <t>RC0603JR-0720KL</t>
  </si>
  <si>
    <t>RMCF1/16.10K5%R</t>
  </si>
  <si>
    <t>RMCF1/1610KJRTR-ND</t>
  </si>
  <si>
    <t>RMCF0603JT10KOTR-ND</t>
  </si>
  <si>
    <t>RMCF1/1610KFRTR-ND</t>
  </si>
  <si>
    <t>RC0603FR-0715KL</t>
  </si>
  <si>
    <t>15K</t>
  </si>
  <si>
    <t>ERA3AEB153V</t>
  </si>
  <si>
    <t>RR0816P-203-D</t>
  </si>
  <si>
    <t>RC0603FR-0720KL</t>
  </si>
  <si>
    <t>RMCF1/1620K5%R</t>
  </si>
  <si>
    <t>RR08P20.5KDTR-ND</t>
  </si>
  <si>
    <t>20.5K</t>
  </si>
  <si>
    <t>RC0603JR-0722KL</t>
  </si>
  <si>
    <t>22K</t>
  </si>
  <si>
    <t>MCR10EZHF3002</t>
  </si>
  <si>
    <t>RC0603FR-0730K92</t>
  </si>
  <si>
    <t>30.9K</t>
  </si>
  <si>
    <t>RC0603FR-0764R9L</t>
  </si>
  <si>
    <t>RC0603JR-0733RL</t>
  </si>
  <si>
    <t>RC0603FR0753R6L</t>
  </si>
  <si>
    <t>RC0603JR-074R7L</t>
  </si>
  <si>
    <t>RC0603JR-0715RL</t>
  </si>
  <si>
    <t>RC1608J000CS</t>
  </si>
  <si>
    <t>RC0603FR-07113RL</t>
  </si>
  <si>
    <t>RC0603FR-0768RL</t>
  </si>
  <si>
    <t>RC0603FR07100RL</t>
  </si>
  <si>
    <t>RC0603JR07120RL</t>
  </si>
  <si>
    <t>WR06X1500FTL</t>
  </si>
  <si>
    <t>C1608C0G1H100D</t>
  </si>
  <si>
    <t>C0603C100J5GAC7867</t>
  </si>
  <si>
    <t>ECJ1VB1H103K</t>
  </si>
  <si>
    <t>1276-2154-2-ND</t>
  </si>
  <si>
    <t>C1608C0G1H150J</t>
  </si>
  <si>
    <t>15PF</t>
  </si>
  <si>
    <t>C1608C0G1H220J</t>
  </si>
  <si>
    <t>GRM1885C2A390JA01D</t>
  </si>
  <si>
    <t>39PF</t>
  </si>
  <si>
    <t>0603N390J500CT</t>
  </si>
  <si>
    <t>RC0603FR-071K152</t>
  </si>
  <si>
    <t>1.15K</t>
  </si>
  <si>
    <t>RC0603JR-072K2L</t>
  </si>
  <si>
    <t>2.2K</t>
  </si>
  <si>
    <t>RC0603FR071K2L</t>
  </si>
  <si>
    <t>1.2K</t>
  </si>
  <si>
    <t>RC0603FR-072K05L</t>
  </si>
  <si>
    <t>2.05K</t>
  </si>
  <si>
    <t>RC0603FR-07200RL</t>
  </si>
  <si>
    <t>ERA-3AEB103V</t>
  </si>
  <si>
    <t>RC0603FR-07332RL</t>
  </si>
  <si>
    <t>RC0603FR-07374RL</t>
  </si>
  <si>
    <t>RMCF0603FT402R</t>
  </si>
  <si>
    <t>RC0603FR07604RL</t>
  </si>
  <si>
    <t>ECJ1VC1H101J</t>
  </si>
  <si>
    <t>251R14S101JV4T</t>
  </si>
  <si>
    <t>ECJ2VC1H101J</t>
  </si>
  <si>
    <t>CL10B331KB8NNNC</t>
  </si>
  <si>
    <t>330PF</t>
  </si>
  <si>
    <t>ECJ-1VC1H331J</t>
  </si>
  <si>
    <t>06035C102KAT2A</t>
  </si>
  <si>
    <t>1000PF</t>
  </si>
  <si>
    <t>CL10A475MP5LNNC</t>
  </si>
  <si>
    <t>4.7UF</t>
  </si>
  <si>
    <t>(TYCO PN)3-1879337-1</t>
  </si>
  <si>
    <t>5.11K</t>
  </si>
  <si>
    <t>RC0603FR-075K49L</t>
  </si>
  <si>
    <t>5.49K</t>
  </si>
  <si>
    <t>RMCF1/166.8KFRTR-ND</t>
  </si>
  <si>
    <t>6.8K</t>
  </si>
  <si>
    <t>ERJ-3EK7151V</t>
  </si>
  <si>
    <t>RC0603FR-072K94L</t>
  </si>
  <si>
    <t>2.94K</t>
  </si>
  <si>
    <t>RC0603JR-073K6L</t>
  </si>
  <si>
    <t>BGA2771.115</t>
  </si>
  <si>
    <t>SGA-41B6Z</t>
  </si>
  <si>
    <t>SKY65013-92LF</t>
  </si>
  <si>
    <t>NBB-310-T1</t>
  </si>
  <si>
    <t>BGA2851,115</t>
  </si>
  <si>
    <t>SIR-568ST3DD</t>
  </si>
  <si>
    <t>UPC2746TB-E3-A</t>
  </si>
  <si>
    <t>Digital IC</t>
  </si>
  <si>
    <t>SN74LVC04ADRG3</t>
  </si>
  <si>
    <t>74ABT04D,118</t>
  </si>
  <si>
    <t>SN74AHCT174DR</t>
  </si>
  <si>
    <t>CD4536BNSR</t>
  </si>
  <si>
    <t>SN74AHCT245PWR</t>
  </si>
  <si>
    <t>MC74HC04ADR2G</t>
  </si>
  <si>
    <t>SN74HC32DR</t>
  </si>
  <si>
    <t>74AGC1G08GV</t>
  </si>
  <si>
    <t>74ABT245D,623</t>
  </si>
  <si>
    <t>SN74LS14DR</t>
  </si>
  <si>
    <t>74LVC06AD,118</t>
  </si>
  <si>
    <t>74LVC1G17SE-7</t>
  </si>
  <si>
    <t>MFG:MC100EL16D</t>
  </si>
  <si>
    <t>SN74LV161ADR</t>
  </si>
  <si>
    <t>74HC541D,653</t>
  </si>
  <si>
    <t>74AHCT04D,112</t>
  </si>
  <si>
    <t>74VHC112MTCX</t>
  </si>
  <si>
    <t>SN74LVC2G32DCTR</t>
  </si>
  <si>
    <t>SN74LVC1G27DBVR</t>
  </si>
  <si>
    <t>SN74LVC1G08DBVR</t>
  </si>
  <si>
    <t>74LVC1G00GV,125</t>
  </si>
  <si>
    <t>74HC273D-T</t>
  </si>
  <si>
    <t>RC0402FR-0749R9L</t>
  </si>
  <si>
    <t>FC0402E50R0BST1</t>
  </si>
  <si>
    <t>FC0402E1000BTBST1</t>
  </si>
  <si>
    <t>RC0402FR-07100RL</t>
  </si>
  <si>
    <t>RR0510P-111-D</t>
  </si>
  <si>
    <t>RR0510P-2550-D</t>
  </si>
  <si>
    <t>RC0402FR-071KL</t>
  </si>
  <si>
    <t>RC0402JR-0710KL</t>
  </si>
  <si>
    <t>RC0402FR-0710KL</t>
  </si>
  <si>
    <t>RC0402FR-0720KL</t>
  </si>
  <si>
    <t>RC0402JR-0720KL</t>
  </si>
  <si>
    <t>RC0603FR-0733KL</t>
  </si>
  <si>
    <t>33K</t>
  </si>
  <si>
    <t>RC0603JR-0733KL</t>
  </si>
  <si>
    <t>RC0603FR-0747KL</t>
  </si>
  <si>
    <t>47K</t>
  </si>
  <si>
    <t>RC0603JR-0751KL</t>
  </si>
  <si>
    <t>51K</t>
  </si>
  <si>
    <t>RC0603JR-0762KL</t>
  </si>
  <si>
    <t>62K</t>
  </si>
  <si>
    <t>RC0603JR-0775KL</t>
  </si>
  <si>
    <t>75K</t>
  </si>
  <si>
    <t>RC0603FR-0778K7L</t>
  </si>
  <si>
    <t>78.7K</t>
  </si>
  <si>
    <t>RMCF1/16100K1%R</t>
  </si>
  <si>
    <t>100K</t>
  </si>
  <si>
    <t>ERA-3AEB304V</t>
  </si>
  <si>
    <t>RC0603JR-07560KL</t>
  </si>
  <si>
    <t>560K</t>
  </si>
  <si>
    <t>RC0603FR-07820KL</t>
  </si>
  <si>
    <t>820K</t>
  </si>
  <si>
    <t>1000</t>
  </si>
  <si>
    <t>10</t>
  </si>
  <si>
    <t>50</t>
  </si>
  <si>
    <t>300</t>
  </si>
  <si>
    <t>150</t>
  </si>
  <si>
    <t>200</t>
  </si>
  <si>
    <t>500R07S2R0B0V4T</t>
    <phoneticPr fontId="1" type="noConversion"/>
  </si>
  <si>
    <t>GRM1555C1H8R0DA010</t>
    <phoneticPr fontId="1" type="noConversion"/>
  </si>
  <si>
    <t>CBR04C100J5GAC</t>
    <phoneticPr fontId="1" type="noConversion"/>
  </si>
  <si>
    <t>500R07S100GV4T</t>
    <phoneticPr fontId="1" type="noConversion"/>
  </si>
  <si>
    <t>CBR04C180J5GAC</t>
    <phoneticPr fontId="1" type="noConversion"/>
  </si>
  <si>
    <t>GRM1555C1H220JA01D</t>
    <phoneticPr fontId="1" type="noConversion"/>
  </si>
  <si>
    <t>GRM1555C1H01JA01D</t>
    <phoneticPr fontId="1" type="noConversion"/>
  </si>
  <si>
    <t>CC0402JRNP09BN101</t>
    <phoneticPr fontId="1" type="noConversion"/>
  </si>
  <si>
    <t>CC0402KRX7R7BB102</t>
    <phoneticPr fontId="1" type="noConversion"/>
  </si>
  <si>
    <t>CGA2B2X7R1H102H050BA</t>
    <phoneticPr fontId="1" type="noConversion"/>
  </si>
  <si>
    <t>C1005X7R1E103K050BB</t>
    <phoneticPr fontId="1" type="noConversion"/>
  </si>
  <si>
    <t>CC0402KRX7R8BB103</t>
    <phoneticPr fontId="1" type="noConversion"/>
  </si>
  <si>
    <t>EMK105B7223KV-F</t>
    <phoneticPr fontId="1" type="noConversion"/>
  </si>
  <si>
    <t>CGB2A1X5R1C105K033BC</t>
    <phoneticPr fontId="1" type="noConversion"/>
  </si>
  <si>
    <t>C1005JB1A475K050BC</t>
    <phoneticPr fontId="1" type="noConversion"/>
  </si>
  <si>
    <t>2pF</t>
  </si>
  <si>
    <t>8pF</t>
  </si>
  <si>
    <t>10pF</t>
  </si>
  <si>
    <t>18pF</t>
  </si>
  <si>
    <t>1000pF</t>
  </si>
  <si>
    <t>10000pF</t>
  </si>
  <si>
    <t>0.022uF</t>
  </si>
  <si>
    <t>1uF</t>
  </si>
  <si>
    <t>4.7uF</t>
  </si>
  <si>
    <t>0402</t>
    <phoneticPr fontId="1" type="noConversion"/>
  </si>
  <si>
    <t>150</t>
    <phoneticPr fontId="1" type="noConversion"/>
  </si>
  <si>
    <t>1000</t>
    <phoneticPr fontId="1" type="noConversion"/>
  </si>
  <si>
    <t>200</t>
    <phoneticPr fontId="1" type="noConversion"/>
  </si>
  <si>
    <t>10</t>
    <phoneticPr fontId="1" type="noConversion"/>
  </si>
  <si>
    <t>100</t>
    <phoneticPr fontId="1" type="noConversion"/>
  </si>
  <si>
    <t>2000</t>
    <phoneticPr fontId="1" type="noConversion"/>
  </si>
  <si>
    <t>SKY65013-92LF</t>
    <phoneticPr fontId="1" type="noConversion"/>
  </si>
  <si>
    <t>NBB-310-T1</t>
    <phoneticPr fontId="1" type="noConversion"/>
  </si>
  <si>
    <t>UPC2712TB-E3-A</t>
    <phoneticPr fontId="1" type="noConversion"/>
  </si>
  <si>
    <t>MMA712-2012</t>
    <phoneticPr fontId="1" type="noConversion"/>
  </si>
  <si>
    <t>BGA2851.115</t>
    <phoneticPr fontId="1" type="noConversion"/>
  </si>
  <si>
    <t>UPC2746TB-E3-A</t>
    <phoneticPr fontId="1" type="noConversion"/>
  </si>
  <si>
    <t>MMG20241HT1</t>
    <phoneticPr fontId="1" type="noConversion"/>
  </si>
  <si>
    <t>204-121ST</t>
    <phoneticPr fontId="1" type="noConversion"/>
  </si>
  <si>
    <t>LTC1069-1IS8</t>
    <phoneticPr fontId="1" type="noConversion"/>
  </si>
  <si>
    <t>LTC1569CS8-7#PBF</t>
    <phoneticPr fontId="1" type="noConversion"/>
  </si>
  <si>
    <t>MC74HC4316ADR2G</t>
    <phoneticPr fontId="1" type="noConversion"/>
  </si>
  <si>
    <t>MC74VHCT50ADR2G</t>
    <phoneticPr fontId="1" type="noConversion"/>
  </si>
  <si>
    <t>CD74HC93M96</t>
    <phoneticPr fontId="1" type="noConversion"/>
  </si>
  <si>
    <t>74F132D</t>
    <phoneticPr fontId="1" type="noConversion"/>
  </si>
  <si>
    <t>ZL40202LDG1</t>
    <phoneticPr fontId="1" type="noConversion"/>
  </si>
  <si>
    <t>SN74HCT374NSR</t>
    <phoneticPr fontId="1" type="noConversion"/>
  </si>
  <si>
    <t>SN74HC377NSR</t>
    <phoneticPr fontId="1" type="noConversion"/>
  </si>
  <si>
    <t>SN74LS378DR</t>
    <phoneticPr fontId="1" type="noConversion"/>
  </si>
  <si>
    <t>CD74HC74M</t>
    <phoneticPr fontId="1" type="noConversion"/>
  </si>
  <si>
    <t>74LVC1G00GV.125</t>
    <phoneticPr fontId="1" type="noConversion"/>
  </si>
  <si>
    <t>SN74LVC1G11DBVR</t>
    <phoneticPr fontId="1" type="noConversion"/>
  </si>
  <si>
    <t>74HC161D.653</t>
    <phoneticPr fontId="1" type="noConversion"/>
  </si>
  <si>
    <t>74LVC1G32SE-7</t>
    <phoneticPr fontId="1" type="noConversion"/>
  </si>
  <si>
    <t>SN74LVC112ADR</t>
    <phoneticPr fontId="1" type="noConversion"/>
  </si>
  <si>
    <t>M74HC238RM13TR</t>
    <phoneticPr fontId="1" type="noConversion"/>
  </si>
  <si>
    <t>MC74HC138ADR2G</t>
    <phoneticPr fontId="1" type="noConversion"/>
  </si>
  <si>
    <t>SN74HC138DR</t>
    <phoneticPr fontId="1" type="noConversion"/>
  </si>
  <si>
    <t>74LVC1G02SE-7</t>
    <phoneticPr fontId="1" type="noConversion"/>
  </si>
  <si>
    <t>SN74LVC1G10DBVR</t>
    <phoneticPr fontId="1" type="noConversion"/>
  </si>
  <si>
    <t>CD4541BM96</t>
    <phoneticPr fontId="1" type="noConversion"/>
  </si>
  <si>
    <t>74LVC1G00SE-7</t>
    <phoneticPr fontId="1" type="noConversion"/>
  </si>
  <si>
    <t>SN74LVC1G00DBVR</t>
    <phoneticPr fontId="1" type="noConversion"/>
  </si>
  <si>
    <t>SN74LV74ADR</t>
    <phoneticPr fontId="1" type="noConversion"/>
  </si>
  <si>
    <t>SN74LVC2G04DBVR</t>
    <phoneticPr fontId="1" type="noConversion"/>
  </si>
  <si>
    <t>MC74HC595ADR2G</t>
    <phoneticPr fontId="1" type="noConversion"/>
  </si>
  <si>
    <t>74AHC1G046V.125</t>
    <phoneticPr fontId="1" type="noConversion"/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</si>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</sst>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Aptos Narrow"/>
      <family val="2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>
      <alignment vertical="center"/>
    </xf>
  </cellStyleXfs>
  <cellXfs count="61">
    <xf numFmtId="0" fontId="0" fillId="0" borderId="0" xfId="0"/>
    <xf numFmtId="0" fontId="0" fillId="0" borderId="0" xfId="0" quotePrefix="1"/>
    <xf numFmtId="0" fontId="0" fillId="0" borderId="0" xfId="0" quotePrefix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/>
    <xf numFmtId="0" fontId="0" fillId="0" borderId="0" xfId="0" quotePrefix="1" applyAlignment="1">
      <alignment horizontal="left" indent="1"/>
    </xf>
    <xf numFmtId="49" fontId="0" fillId="0" borderId="0" xfId="0" quotePrefix="1" applyNumberFormat="1" applyAlignment="1">
      <alignment horizontal="center"/>
    </xf>
    <xf numFmtId="0" fontId="0" fillId="0" borderId="0" xfId="0" applyFill="1"/>
    <xf numFmtId="0" fontId="0" fillId="0" borderId="0" xfId="0" quotePrefix="1" applyFill="1"/>
    <xf numFmtId="0" fontId="1" fillId="2" borderId="0" xfId="0" applyFont="1" applyFill="1" applyBorder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4" borderId="0" xfId="0" applyFont="1" applyFill="1"/>
    <xf numFmtId="0" fontId="1" fillId="8" borderId="0" xfId="0" applyFont="1" applyFill="1"/>
    <xf numFmtId="49" fontId="0" fillId="0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quotePrefix="1" applyFont="1" applyAlignment="1">
      <alignment horizontal="center"/>
    </xf>
    <xf numFmtId="49" fontId="4" fillId="0" borderId="0" xfId="0" quotePrefix="1" applyNumberFormat="1" applyFont="1" applyAlignment="1">
      <alignment horizontal="center"/>
    </xf>
    <xf numFmtId="0" fontId="4" fillId="0" borderId="0" xfId="0" quotePrefix="1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 applyFill="1" applyAlignment="1">
      <alignment horizontal="center"/>
    </xf>
    <xf numFmtId="0" fontId="0" fillId="0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5" borderId="0" xfId="0" applyFont="1" applyFill="1" applyBorder="1"/>
    <xf numFmtId="0" fontId="0" fillId="0" borderId="0" xfId="0" applyBorder="1"/>
    <xf numFmtId="0" fontId="0" fillId="0" borderId="0" xfId="0" applyAlignment="1">
      <alignment vertical="center"/>
    </xf>
    <xf numFmtId="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9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quotePrefix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quotePrefix="1" applyFont="1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vertic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49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0" borderId="0" xfId="1" applyAlignment="1">
      <alignment horizontal="center" vertical="center"/>
    </xf>
    <xf numFmtId="49" fontId="6" fillId="0" borderId="0" xfId="1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2">
    <cellStyle name="Normal" xfId="0" builtinId="0"/>
    <cellStyle name="Normal 2" xfId="1" xr:uid="{00000000-0005-0000-0000-00002F000000}"/>
  </cellStyles>
  <dxfs count="47"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1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30" formatCode="@"/>
      <alignment horizontal="center" textRotation="0" wrapText="0" indent="0" justifyLastLine="0" shrinkToFit="0" readingOrder="0"/>
    </dxf>
    <dxf>
      <numFmt numFmtId="30" formatCode="@"/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B050"/>
        </patternFill>
      </fill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70C0"/>
        </patternFill>
      </fill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D45AB7-6076-40D2-9536-00E3BAF79554}" name="Table2" displayName="Table2" ref="A2:F210" totalsRowShown="0" headerRowDxfId="46" dataDxfId="24">
  <autoFilter ref="A2:F210" xr:uid="{0FD037C0-1464-43AE-809C-A9DC97B9F51E}"/>
  <sortState ref="A3:F210">
    <sortCondition ref="A2:A210"/>
  </sortState>
  <tableColumns count="6">
    <tableColumn id="1" xr3:uid="{5359DA1D-63B9-449F-8761-A0BDB7E3BB5C}" name="Part num" dataDxfId="30" dataCellStyle="Normal 2"/>
    <tableColumn id="2" xr3:uid="{78BAB23D-D7D5-415C-BB95-A9CFB9CB230D}" name="value (Ohm)" dataDxfId="29" dataCellStyle="Normal 2"/>
    <tableColumn id="3" xr3:uid="{6F7B85B6-2DAD-47C9-8DC7-E3EBA9DE5730}" name="numerical" dataDxfId="28">
      <calculatedColumnFormula>IF(RIGHT(B3,1)="K",VALUE(LEFT(B3,LEN(B3)-1))*1000,VALUE(B3))</calculatedColumnFormula>
    </tableColumn>
    <tableColumn id="4" xr3:uid="{E3227AD6-9D7D-4586-8592-8EFAF03CF88F}" name="max voltage" dataDxfId="27"/>
    <tableColumn id="5" xr3:uid="{CB13A579-4548-4E1D-B6A9-15568C3CAE02}" name="footsize(imperial unit)" dataDxfId="26" dataCellStyle="Normal 2"/>
    <tableColumn id="6" xr3:uid="{85164B24-DE9B-475F-BCA2-3031DF432CBC}" name="quantity" dataDxfId="25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F75688-782D-4C01-90E3-4193403805DD}" name="Table3" displayName="Table3" ref="A1:F101" totalsRowShown="0" headerRowDxfId="45" dataDxfId="17">
  <autoFilter ref="A1:F101" xr:uid="{1CC63D22-B8E7-4B69-BD1C-E95AF129CAAC}"/>
  <sortState ref="A2:F101">
    <sortCondition ref="A1:A101"/>
  </sortState>
  <tableColumns count="6">
    <tableColumn id="1" xr3:uid="{0FA94ECA-DC73-4095-A1A3-7DC0DC971EE7}" name="Part num" dataDxfId="23"/>
    <tableColumn id="2" xr3:uid="{51A47A3B-6866-4FAE-A108-C3206894723B}" name="value" dataDxfId="22"/>
    <tableColumn id="3" xr3:uid="{9CDE2151-43C8-4644-BDFE-FD3338C9126A}" name="numerical(pf) " dataDxfId="21"/>
    <tableColumn id="4" xr3:uid="{E47CDE2E-8869-4D48-ABEF-E7D3EE413963}" name="max voltage" dataDxfId="20"/>
    <tableColumn id="5" xr3:uid="{F48D9526-114F-4490-8DF7-1E1C90520559}" name="footsize(imperial unit)" dataDxfId="19"/>
    <tableColumn id="6" xr3:uid="{F07BAC40-A600-40D2-82D2-580D208E8517}" name="quantity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D69974-02A1-4098-9F80-4137070F1DEB}" name="Table4" displayName="Table4" ref="A2:D42" totalsRowShown="0" headerRowDxfId="44" dataDxfId="12">
  <autoFilter ref="A2:D42" xr:uid="{61B74AC4-0FEA-49DC-9157-D78DB9E61967}"/>
  <tableColumns count="4">
    <tableColumn id="1" xr3:uid="{97C6202E-C6E2-4FA6-A865-924166E37D46}" name="Part num" dataDxfId="16"/>
    <tableColumn id="2" xr3:uid="{4D803588-4EF4-42AA-8E8A-7E4A795F10B8}" name="value " dataDxfId="15"/>
    <tableColumn id="3" xr3:uid="{59214CBC-3D51-40C4-8E8F-06121D574560}" name="CURRENT" dataDxfId="14"/>
    <tableColumn id="4" xr3:uid="{200C9B0D-E4A8-4D04-8C12-0790392A612C}" name="footsize(imperial unit)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26AAC33-7046-4241-BF26-DAC118AB45FD}" name="Table5" displayName="Table5" ref="A1:B78" totalsRowShown="0" headerRowDxfId="43" dataDxfId="42">
  <autoFilter ref="A1:B78" xr:uid="{7E7AB043-6248-4B89-871E-E1E0B44A7144}"/>
  <tableColumns count="2">
    <tableColumn id="1" xr3:uid="{41E8D986-5302-477C-9717-65347C9B93BC}" name="Filter" dataDxfId="41"/>
    <tableColumn id="2" xr3:uid="{29F76A88-AC6B-4B4E-9BF9-14C7CEBE500C}" name="NUM" dataDxfId="4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DF4B8F7-413E-450E-B4D3-BE2C51271970}" name="Table6" displayName="Table6" ref="A1:C63" totalsRowShown="0" headerRowDxfId="39" dataDxfId="8">
  <autoFilter ref="A1:C63" xr:uid="{82561BE0-40CA-41F7-BF0F-1AAAE28F4956}"/>
  <tableColumns count="3">
    <tableColumn id="1" xr3:uid="{1880903D-4F20-48EB-8A16-6CDA9D9D2273}" name="vco" dataDxfId="11"/>
    <tableColumn id="2" xr3:uid="{BB3B3B28-03E8-43F1-B975-FCC9834F96F9}" name="package" dataDxfId="10"/>
    <tableColumn id="3" xr3:uid="{9C819785-5ED7-43BF-95FD-632290D44936}" name="quanitity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4C6024F-439C-4DBE-A414-4F887A9998AC}" name="Table7" displayName="Table7" ref="A1:C30" totalsRowShown="0" dataDxfId="38">
  <autoFilter ref="A1:C30" xr:uid="{3E00B05E-3CAB-451C-980B-8DF338A03BF7}"/>
  <tableColumns count="3">
    <tableColumn id="1" xr3:uid="{8C1831DB-07FE-482A-A749-007C865DE873}" name="Freq Mixer" dataDxfId="37"/>
    <tableColumn id="2" xr3:uid="{EE136D9D-051B-4B35-B9D1-A8B1D0F46217}" name="package" dataDxfId="36"/>
    <tableColumn id="3" xr3:uid="{D2BBFF47-8203-413E-BDBC-DBF393EA47DF}" name="number" dataDxfId="3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F7AD01F-A2A9-49C4-B556-9167B10CC447}" name="Table8" displayName="Table8" ref="A1:C29" totalsRowShown="0">
  <autoFilter ref="A1:C29" xr:uid="{AE52C8EC-0936-4C7A-A36B-61715BA46526}"/>
  <tableColumns count="3">
    <tableColumn id="1" xr3:uid="{FCD5F671-EB20-44FA-9894-0D380585B636}" name="Amplifier" dataDxfId="34"/>
    <tableColumn id="2" xr3:uid="{8745B568-8F2E-4BEE-8CE3-C944E1CE2D1A}" name="package"/>
    <tableColumn id="3" xr3:uid="{10DBDB03-C0FE-464B-9749-27BF2CB00B37}" name="number" dataDxfId="3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A15F1A9-2088-44F5-B5B9-1F9DA7072B86}" name="Table9" displayName="Table9" ref="A1:B79" totalsRowShown="0">
  <autoFilter ref="A1:B79" xr:uid="{3A17AC66-8A1F-4160-9F23-5942D6BAC493}"/>
  <tableColumns count="2">
    <tableColumn id="1" xr3:uid="{EB30656A-299D-4882-A480-0BEAAAE7122A}" name="Regulators"/>
    <tableColumn id="2" xr3:uid="{0A47509C-3EE1-4098-B5FF-09D05B701C5B}" name="Nu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3DBF4B8-8181-4443-BDC5-CD3C43C2E61A}" name="Table12" displayName="Table12" ref="A2:D13" totalsRowShown="0" dataDxfId="0">
  <autoFilter ref="A2:D13" xr:uid="{58E58479-2177-4C86-A702-8E9AD4A97228}"/>
  <sortState ref="A3:D13">
    <sortCondition ref="A2:A13"/>
  </sortState>
  <tableColumns count="4">
    <tableColumn id="1" xr3:uid="{1A3CB8F6-AF37-4699-A239-A49FD0663D37}" name="Part Num" dataDxfId="4"/>
    <tableColumn id="2" xr3:uid="{77343D91-AD91-403B-8D5D-1FEDDECEE47A}" name="Current" dataDxfId="3"/>
    <tableColumn id="3" xr3:uid="{3A2792CC-91E3-489D-AC2B-6BA6B48D1D74}" name="Voltage" dataDxfId="2"/>
    <tableColumn id="4" xr3:uid="{6E907EB9-D3F1-4156-8C7F-F55716F126E5}" name="footprint" dataDxfId="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7697638-2BCE-42B7-AB07-9264D8DA7962}" name="Table13" displayName="Table13" ref="A2:E6" totalsRowShown="0" headerRowDxfId="5">
  <autoFilter ref="A2:E6" xr:uid="{79A77C23-B708-4C86-A0C9-0E08A008D24F}"/>
  <tableColumns count="5">
    <tableColumn id="1" xr3:uid="{DC2371C0-A1FB-4AD1-A06E-8B7B9DE8C3F1}" name="P/N" dataDxfId="7"/>
    <tableColumn id="2" xr3:uid="{474783D1-60A0-4B81-BA17-6E590D8ED24A}" name="Ohm"/>
    <tableColumn id="3" xr3:uid="{2A97D418-B953-4754-B65B-49E99CDA660A}" name="Column1"/>
    <tableColumn id="4" xr3:uid="{832F2D33-ABE9-4CCC-9477-1BB3E28DDE2E}" name="Column2"/>
    <tableColumn id="5" xr3:uid="{C25AAEC5-B4A0-4393-BDC7-AB54795BE1F0}" name="footsize" dataDxfId="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9A22F36-5638-4590-8B4D-BF3AFA7D3411}" name="Table10" displayName="Table10" ref="A1:C51" totalsRowShown="0">
  <autoFilter ref="A1:C51" xr:uid="{4DA58155-6D50-4262-805C-D6307C2A1649}"/>
  <tableColumns count="3">
    <tableColumn id="1" xr3:uid="{8B6CD845-4987-40BE-9115-98D54666FBC7}" name="Digital IC" dataDxfId="32"/>
    <tableColumn id="2" xr3:uid="{FA7A6A69-14BC-4298-8C9F-EC9DE8F95959}" name="package"/>
    <tableColumn id="3" xr3:uid="{A0098B77-B83B-4CBF-B32B-6540E23D60AC}" name="number" dataDxfId="3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33C5116-C581-4738-89FD-7C504EF0BCB4}" name="Table11" displayName="Table11" ref="A1:C35" totalsRowShown="0">
  <autoFilter ref="A1:C35" xr:uid="{F6A91388-09B1-44C6-AC3C-DDCDD2800B36}"/>
  <tableColumns count="3">
    <tableColumn id="1" xr3:uid="{7D27363D-FE9B-4EAC-A0C0-94634011B7CB}" name="Function"/>
    <tableColumn id="2" xr3:uid="{74CD0856-3C35-4832-BE08-45F70C1843FE}" name="Part Num"/>
    <tableColumn id="3" xr3:uid="{B0FD49D8-0601-45C6-A900-9BAEA656DF39}" name="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69EB1-7C4F-44C2-A2B1-C1B425A668CE}">
  <dimension ref="A1:L210"/>
  <sheetViews>
    <sheetView tabSelected="1" topLeftCell="A75" zoomScaleNormal="100" workbookViewId="0">
      <selection activeCell="E24" sqref="E24"/>
    </sheetView>
  </sheetViews>
  <sheetFormatPr defaultRowHeight="13.8"/>
  <cols>
    <col min="1" max="1" width="27.69921875" style="25" customWidth="1"/>
    <col min="2" max="2" width="13.69921875" style="25" customWidth="1"/>
    <col min="3" max="3" width="11.296875" style="25" customWidth="1"/>
    <col min="4" max="4" width="13.296875" style="25" customWidth="1"/>
    <col min="5" max="5" width="21.8984375" style="25" customWidth="1"/>
    <col min="6" max="6" width="19.69921875" style="25" customWidth="1"/>
    <col min="7" max="7" width="21.19921875" style="25" customWidth="1"/>
    <col min="8" max="8" width="10.8984375" style="25" customWidth="1"/>
    <col min="9" max="9" width="13.5" style="25" customWidth="1"/>
    <col min="10" max="10" width="12.796875" style="25" customWidth="1"/>
    <col min="11" max="12" width="18.69921875" style="25" customWidth="1"/>
    <col min="13" max="13" width="20.5" style="25" customWidth="1"/>
    <col min="14" max="15" width="18.69921875" style="25" customWidth="1"/>
    <col min="16" max="16" width="15.69921875" style="25" customWidth="1"/>
    <col min="17" max="18" width="20.5" style="25" customWidth="1"/>
    <col min="19" max="19" width="13" style="25" customWidth="1"/>
    <col min="20" max="20" width="14.8984375" style="25" customWidth="1"/>
    <col min="21" max="21" width="27.19921875" style="25" customWidth="1"/>
    <col min="22" max="26" width="15.3984375" style="25" customWidth="1"/>
    <col min="27" max="27" width="19.3984375" style="25" customWidth="1"/>
    <col min="28" max="31" width="33.09765625" style="25" customWidth="1"/>
    <col min="32" max="32" width="49.8984375" style="25" customWidth="1"/>
    <col min="33" max="33" width="23.59765625" style="25" customWidth="1"/>
    <col min="34" max="34" width="18.09765625" style="25" customWidth="1"/>
    <col min="35" max="35" width="49.8984375" style="25" customWidth="1"/>
    <col min="36" max="36" width="24" style="25" customWidth="1"/>
    <col min="37" max="37" width="19.19921875" style="25" customWidth="1"/>
    <col min="38" max="38" width="32.5" style="25" customWidth="1"/>
    <col min="39" max="39" width="33.59765625" style="25" customWidth="1"/>
    <col min="40" max="40" width="15.69921875" style="25" customWidth="1"/>
    <col min="41" max="41" width="15.8984375" style="25" customWidth="1"/>
    <col min="42" max="42" width="18.8984375" style="25" customWidth="1"/>
    <col min="43" max="45" width="8.796875" style="25"/>
    <col min="46" max="46" width="15.59765625" style="25" customWidth="1"/>
    <col min="47" max="47" width="17.69921875" style="25" customWidth="1"/>
    <col min="48" max="16384" width="8.796875" style="25"/>
  </cols>
  <sheetData>
    <row r="1" spans="1:12">
      <c r="A1" s="49" t="s">
        <v>69</v>
      </c>
      <c r="B1" s="49"/>
      <c r="C1" s="49"/>
      <c r="D1" s="49"/>
      <c r="E1" s="49"/>
      <c r="F1" s="26"/>
    </row>
    <row r="2" spans="1:12">
      <c r="A2" s="25" t="s">
        <v>169</v>
      </c>
      <c r="B2" s="25" t="s">
        <v>170</v>
      </c>
      <c r="C2" s="25" t="s">
        <v>183</v>
      </c>
      <c r="D2" s="25" t="s">
        <v>172</v>
      </c>
      <c r="E2" s="27" t="s">
        <v>171</v>
      </c>
      <c r="F2" s="53" t="s">
        <v>541</v>
      </c>
    </row>
    <row r="3" spans="1:12">
      <c r="A3" s="47" t="s">
        <v>851</v>
      </c>
      <c r="B3" s="47" t="s">
        <v>852</v>
      </c>
      <c r="C3" s="47">
        <f>IF(RIGHT(B3,1)="K",VALUE(LEFT(B3,LEN(B3)-1))*1000,VALUE(B3))</f>
        <v>5110</v>
      </c>
      <c r="D3" s="47"/>
      <c r="E3" s="2" t="s">
        <v>174</v>
      </c>
      <c r="F3" s="47">
        <v>5000</v>
      </c>
      <c r="K3" s="2"/>
      <c r="L3" s="2"/>
    </row>
    <row r="4" spans="1:12">
      <c r="A4" s="47" t="s">
        <v>752</v>
      </c>
      <c r="B4" s="47" t="s">
        <v>241</v>
      </c>
      <c r="C4" s="47">
        <f>IF(RIGHT(B4,1)="K",VALUE(LEFT(B4,LEN(B4)-1))*1000,VALUE(B4))</f>
        <v>2000</v>
      </c>
      <c r="D4" s="47"/>
      <c r="E4" s="2" t="s">
        <v>178</v>
      </c>
      <c r="F4" s="47">
        <v>5000</v>
      </c>
      <c r="K4" s="2"/>
      <c r="L4" s="2"/>
    </row>
    <row r="5" spans="1:12">
      <c r="A5" s="47" t="s">
        <v>759</v>
      </c>
      <c r="B5" s="47" t="s">
        <v>285</v>
      </c>
      <c r="C5" s="47">
        <f>IF(RIGHT(B5,1)="K",VALUE(LEFT(B5,LEN(B5)-1))*1000,VALUE(B5))</f>
        <v>4990</v>
      </c>
      <c r="D5" s="47"/>
      <c r="E5" s="2" t="s">
        <v>174</v>
      </c>
      <c r="F5" s="47">
        <v>3000</v>
      </c>
      <c r="K5" s="2"/>
      <c r="L5" s="2"/>
    </row>
    <row r="6" spans="1:12">
      <c r="A6" s="47" t="s">
        <v>775</v>
      </c>
      <c r="B6" s="47">
        <v>60.4</v>
      </c>
      <c r="C6" s="47">
        <f>IF(RIGHT(B6,1)="K",VALUE(LEFT(B6,LEN(B6)-1))*1000,VALUE(B6))</f>
        <v>60.4</v>
      </c>
      <c r="D6" s="47"/>
      <c r="E6" s="47">
        <v>1206</v>
      </c>
      <c r="F6" s="47">
        <v>200</v>
      </c>
      <c r="G6" s="2"/>
      <c r="K6" s="2"/>
      <c r="L6" s="2"/>
    </row>
    <row r="7" spans="1:12">
      <c r="A7" s="47" t="s">
        <v>774</v>
      </c>
      <c r="B7" s="47">
        <v>60.4</v>
      </c>
      <c r="C7" s="47">
        <f>IF(RIGHT(B7,1)="K",VALUE(LEFT(B7,LEN(B7)-1))*1000,VALUE(B7))</f>
        <v>60.4</v>
      </c>
      <c r="D7" s="47"/>
      <c r="E7" s="47">
        <v>1206</v>
      </c>
      <c r="F7" s="47">
        <v>5000</v>
      </c>
      <c r="K7" s="2"/>
      <c r="L7" s="2"/>
    </row>
    <row r="8" spans="1:12">
      <c r="A8" s="47" t="s">
        <v>362</v>
      </c>
      <c r="B8" s="47">
        <v>200</v>
      </c>
      <c r="C8" s="47">
        <f>IF(RIGHT(B8,1)="K",VALUE(LEFT(B8,LEN(B8)-1))*1000,VALUE(B8))</f>
        <v>200</v>
      </c>
      <c r="D8" s="47"/>
      <c r="E8" s="2" t="s">
        <v>173</v>
      </c>
      <c r="F8" s="2"/>
      <c r="K8" s="2"/>
      <c r="L8" s="2"/>
    </row>
    <row r="9" spans="1:12">
      <c r="A9" s="47" t="s">
        <v>366</v>
      </c>
      <c r="B9" s="47">
        <v>150</v>
      </c>
      <c r="C9" s="47">
        <f>IF(RIGHT(B9,1)="K",VALUE(LEFT(B9,LEN(B9)-1))*1000,VALUE(B9))</f>
        <v>150</v>
      </c>
      <c r="D9" s="47"/>
      <c r="E9" s="2" t="s">
        <v>173</v>
      </c>
      <c r="F9" s="2"/>
      <c r="K9" s="2"/>
      <c r="L9" s="2"/>
    </row>
    <row r="10" spans="1:12">
      <c r="A10" s="47" t="s">
        <v>357</v>
      </c>
      <c r="B10" s="47">
        <v>88</v>
      </c>
      <c r="C10" s="47">
        <f>IF(RIGHT(B10,1)="K",VALUE(LEFT(B10,LEN(B10)-1))*1000,VALUE(B10))</f>
        <v>88</v>
      </c>
      <c r="D10" s="47"/>
      <c r="E10" s="2" t="s">
        <v>173</v>
      </c>
      <c r="F10" s="2"/>
      <c r="K10" s="2"/>
      <c r="L10" s="2"/>
    </row>
    <row r="11" spans="1:12">
      <c r="A11" s="47" t="s">
        <v>361</v>
      </c>
      <c r="B11" s="47">
        <v>500</v>
      </c>
      <c r="C11" s="47">
        <f>IF(RIGHT(B11,1)="K",VALUE(LEFT(B11,LEN(B11)-1))*1000,VALUE(B11))</f>
        <v>500</v>
      </c>
      <c r="D11" s="47"/>
      <c r="E11" s="2" t="s">
        <v>173</v>
      </c>
      <c r="F11" s="2"/>
    </row>
    <row r="12" spans="1:12">
      <c r="A12" s="29" t="s">
        <v>481</v>
      </c>
      <c r="B12" s="47" t="s">
        <v>482</v>
      </c>
      <c r="C12" s="29">
        <f>IF(RIGHT(B12,1)="K",VALUE(LEFT(B12,LEN(B12)-1))*1000,VALUE(B12))</f>
        <v>2200</v>
      </c>
      <c r="D12" s="47"/>
      <c r="E12" s="2" t="s">
        <v>178</v>
      </c>
      <c r="F12" s="2"/>
      <c r="J12" s="2"/>
    </row>
    <row r="13" spans="1:12">
      <c r="A13" s="47" t="s">
        <v>244</v>
      </c>
      <c r="B13" s="47" t="s">
        <v>219</v>
      </c>
      <c r="C13" s="47">
        <f>IF(RIGHT(B13,1)="k", VALUE(LEFT(B13,LEN(B13)-1))*1000, VALUE(B13))</f>
        <v>102000</v>
      </c>
      <c r="D13" s="47"/>
      <c r="E13" s="2" t="s">
        <v>174</v>
      </c>
      <c r="F13" s="2"/>
      <c r="K13" s="2"/>
      <c r="L13" s="2"/>
    </row>
    <row r="14" spans="1:12">
      <c r="A14" s="47" t="s">
        <v>233</v>
      </c>
      <c r="B14" s="47" t="s">
        <v>234</v>
      </c>
      <c r="C14" s="47">
        <f>IF(RIGHT(B14,1)="k", VALUE(LEFT(B14,LEN(B14)-1))*1000, VALUE(B14))</f>
        <v>12100</v>
      </c>
      <c r="D14" s="47"/>
      <c r="E14" s="2" t="s">
        <v>174</v>
      </c>
      <c r="F14" s="2"/>
    </row>
    <row r="15" spans="1:12">
      <c r="A15" s="47" t="s">
        <v>262</v>
      </c>
      <c r="B15" s="47" t="s">
        <v>263</v>
      </c>
      <c r="C15" s="47">
        <f>IF(RIGHT(B15,1)="k", VALUE(LEFT(B15,LEN(B15)-1))*1000, VALUE(B15))</f>
        <v>140000</v>
      </c>
      <c r="D15" s="47"/>
      <c r="E15" s="3" t="s">
        <v>248</v>
      </c>
      <c r="F15" s="3"/>
      <c r="K15" s="2"/>
      <c r="L15" s="2"/>
    </row>
    <row r="16" spans="1:12">
      <c r="A16" s="47" t="s">
        <v>214</v>
      </c>
      <c r="B16" s="47" t="s">
        <v>215</v>
      </c>
      <c r="C16" s="47">
        <f>IF(RIGHT(B16,1)="k", VALUE(LEFT(B16,LEN(B16)-1))*1000, VALUE(B16))</f>
        <v>150000</v>
      </c>
      <c r="D16" s="47"/>
      <c r="E16" s="2" t="s">
        <v>174</v>
      </c>
      <c r="F16" s="2"/>
      <c r="K16" s="2"/>
      <c r="L16" s="2"/>
    </row>
    <row r="17" spans="1:12">
      <c r="A17" s="29" t="s">
        <v>372</v>
      </c>
      <c r="B17" s="29" t="s">
        <v>373</v>
      </c>
      <c r="C17" s="29">
        <f>IF(RIGHT(B17,1)="K",VALUE(LEFT(B17,LEN(B17)-1))*1000,VALUE(B17))</f>
        <v>1620</v>
      </c>
      <c r="D17" s="29"/>
      <c r="E17" s="28" t="s">
        <v>174</v>
      </c>
      <c r="F17" s="28"/>
      <c r="K17" s="2"/>
      <c r="L17" s="2"/>
    </row>
    <row r="18" spans="1:12">
      <c r="A18" s="47" t="s">
        <v>225</v>
      </c>
      <c r="B18" s="47" t="s">
        <v>226</v>
      </c>
      <c r="C18" s="47">
        <f>IF(RIGHT(B18,1)="k", VALUE(LEFT(B18,LEN(B18)-1))*1000, VALUE(B18))</f>
        <v>17400</v>
      </c>
      <c r="D18" s="47"/>
      <c r="E18" s="2" t="s">
        <v>174</v>
      </c>
      <c r="F18" s="2"/>
      <c r="G18" s="2"/>
      <c r="K18" s="2"/>
      <c r="L18" s="2"/>
    </row>
    <row r="19" spans="1:12">
      <c r="A19" s="47" t="s">
        <v>258</v>
      </c>
      <c r="B19" s="47" t="s">
        <v>259</v>
      </c>
      <c r="C19" s="47">
        <f>IF(RIGHT(B19,1)="k", VALUE(LEFT(B19,LEN(B19)-1))*1000, VALUE(B19))</f>
        <v>180000</v>
      </c>
      <c r="D19" s="47"/>
      <c r="E19" s="3" t="s">
        <v>248</v>
      </c>
      <c r="F19" s="3"/>
      <c r="K19" s="2"/>
      <c r="L19" s="2"/>
    </row>
    <row r="20" spans="1:12">
      <c r="A20" s="47" t="s">
        <v>227</v>
      </c>
      <c r="B20" s="47" t="s">
        <v>228</v>
      </c>
      <c r="C20" s="47">
        <f>IF(RIGHT(B20,1)="k", VALUE(LEFT(B20,LEN(B20)-1))*1000, VALUE(B20))</f>
        <v>20000</v>
      </c>
      <c r="D20" s="47"/>
      <c r="E20" s="2" t="s">
        <v>174</v>
      </c>
      <c r="F20" s="2"/>
      <c r="K20" s="2"/>
      <c r="L20" s="2"/>
    </row>
    <row r="21" spans="1:12">
      <c r="A21" s="47" t="s">
        <v>251</v>
      </c>
      <c r="B21" s="47">
        <v>220</v>
      </c>
      <c r="C21" s="47">
        <f>IF(RIGHT(B21,1)="k", VALUE(LEFT(B21,LEN(B21)-1))*1000, VALUE(B21))</f>
        <v>220</v>
      </c>
      <c r="D21" s="47"/>
      <c r="E21" s="3" t="s">
        <v>248</v>
      </c>
      <c r="F21" s="3"/>
      <c r="K21" s="2"/>
      <c r="L21" s="2"/>
    </row>
    <row r="22" spans="1:12">
      <c r="A22" s="47" t="s">
        <v>260</v>
      </c>
      <c r="B22" s="47" t="s">
        <v>261</v>
      </c>
      <c r="C22" s="47">
        <f>IF(RIGHT(B22,1)="k", VALUE(LEFT(B22,LEN(B22)-1))*1000, VALUE(B22))</f>
        <v>249000</v>
      </c>
      <c r="D22" s="47"/>
      <c r="E22" s="3" t="s">
        <v>248</v>
      </c>
      <c r="F22" s="3"/>
      <c r="K22" s="2"/>
      <c r="L22" s="2"/>
    </row>
    <row r="23" spans="1:12">
      <c r="A23" s="47" t="s">
        <v>224</v>
      </c>
      <c r="B23" s="47" t="s">
        <v>211</v>
      </c>
      <c r="C23" s="47">
        <f>IF(RIGHT(B23,1)="k", VALUE(LEFT(B23,LEN(B23)-1))*1000, VALUE(B23))</f>
        <v>30000</v>
      </c>
      <c r="D23" s="47"/>
      <c r="E23" s="2" t="s">
        <v>174</v>
      </c>
      <c r="F23" s="2"/>
      <c r="K23" s="2"/>
      <c r="L23" s="2"/>
    </row>
    <row r="24" spans="1:12">
      <c r="A24" s="47" t="s">
        <v>279</v>
      </c>
      <c r="B24" s="35" t="s">
        <v>280</v>
      </c>
      <c r="C24" s="47">
        <f>IF(RIGHT(B24,1)="K",VALUE(LEFT(B24,LEN(B24)-1))*1000,VALUE(B24))</f>
        <v>3600</v>
      </c>
      <c r="D24" s="47"/>
      <c r="E24" s="2" t="s">
        <v>174</v>
      </c>
      <c r="F24" s="2"/>
      <c r="K24" s="2"/>
      <c r="L24" s="2"/>
    </row>
    <row r="25" spans="1:12">
      <c r="A25" s="47" t="s">
        <v>239</v>
      </c>
      <c r="B25" s="47" t="s">
        <v>238</v>
      </c>
      <c r="C25" s="47">
        <f>IF(RIGHT(B25,1)="k", VALUE(LEFT(B25,LEN(B25)-1))*1000, VALUE(B25))</f>
        <v>7150</v>
      </c>
      <c r="D25" s="47"/>
      <c r="E25" s="2" t="s">
        <v>174</v>
      </c>
      <c r="F25" s="2"/>
      <c r="K25" s="2"/>
      <c r="L25" s="2"/>
    </row>
    <row r="26" spans="1:12">
      <c r="A26" s="47" t="s">
        <v>329</v>
      </c>
      <c r="B26" s="47" t="s">
        <v>328</v>
      </c>
      <c r="C26" s="47">
        <f>IF(RIGHT(B26,1)="K",VALUE(LEFT(B26,LEN(B26)-1))*1000,VALUE(B26))</f>
        <v>8450</v>
      </c>
      <c r="D26" s="47"/>
      <c r="E26" s="2" t="s">
        <v>174</v>
      </c>
      <c r="F26" s="2"/>
      <c r="K26" s="2"/>
      <c r="L26" s="2"/>
    </row>
    <row r="27" spans="1:12">
      <c r="A27" s="47" t="s">
        <v>210</v>
      </c>
      <c r="B27" s="47" t="s">
        <v>211</v>
      </c>
      <c r="C27" s="47">
        <f>IF(RIGHT(B27,1)="k", VALUE(LEFT(B27,LEN(B27)-1))*1000, VALUE(B27))</f>
        <v>30000</v>
      </c>
      <c r="D27" s="47"/>
      <c r="E27" s="2" t="s">
        <v>174</v>
      </c>
      <c r="F27" s="2"/>
      <c r="K27" s="2"/>
      <c r="L27" s="2"/>
    </row>
    <row r="28" spans="1:12">
      <c r="A28" s="47" t="s">
        <v>327</v>
      </c>
      <c r="B28" s="47" t="s">
        <v>328</v>
      </c>
      <c r="C28" s="47">
        <f>IF(RIGHT(B28,1)="K",VALUE(LEFT(B28,LEN(B28)-1))*1000,VALUE(B28))</f>
        <v>8450</v>
      </c>
      <c r="D28" s="47"/>
      <c r="E28" s="2" t="s">
        <v>178</v>
      </c>
      <c r="F28" s="2"/>
      <c r="K28" s="2"/>
      <c r="L28" s="2"/>
    </row>
    <row r="29" spans="1:12">
      <c r="A29" s="29" t="s">
        <v>371</v>
      </c>
      <c r="B29" s="29">
        <v>0</v>
      </c>
      <c r="C29" s="29">
        <f>IF(RIGHT(B29,1)="K",VALUE(LEFT(B29,LEN(B29)-1))*1000,VALUE(B29))</f>
        <v>0</v>
      </c>
      <c r="D29" s="29"/>
      <c r="E29" s="29"/>
      <c r="F29" s="29"/>
      <c r="K29" s="2"/>
      <c r="L29" s="2"/>
    </row>
    <row r="30" spans="1:12">
      <c r="A30" s="47" t="s">
        <v>299</v>
      </c>
      <c r="B30" s="47">
        <v>100</v>
      </c>
      <c r="C30" s="47">
        <f>IF(RIGHT(B30,1)="K",VALUE(LEFT(B30,LEN(B30)-1))*1000,VALUE(B30))</f>
        <v>100</v>
      </c>
      <c r="D30" s="47"/>
      <c r="E30" s="2" t="s">
        <v>174</v>
      </c>
      <c r="F30" s="2"/>
      <c r="K30" s="2"/>
      <c r="L30" s="2"/>
    </row>
    <row r="31" spans="1:12">
      <c r="A31" s="47" t="s">
        <v>242</v>
      </c>
      <c r="B31" s="47" t="s">
        <v>226</v>
      </c>
      <c r="C31" s="47">
        <f>IF(RIGHT(B31,1)="k", VALUE(LEFT(B31,LEN(B31)-1))*1000, VALUE(B31))</f>
        <v>17400</v>
      </c>
      <c r="D31" s="47"/>
      <c r="E31" s="2" t="s">
        <v>174</v>
      </c>
      <c r="F31" s="2"/>
      <c r="K31" s="2"/>
      <c r="L31" s="2"/>
    </row>
    <row r="32" spans="1:12">
      <c r="A32" s="47" t="s">
        <v>208</v>
      </c>
      <c r="B32" s="47">
        <v>453</v>
      </c>
      <c r="C32" s="47">
        <f>IF(RIGHT(B32,1)="k", VALUE(LEFT(B32,LEN(B32)-1))*1000, VALUE(B32))</f>
        <v>453</v>
      </c>
      <c r="D32" s="47"/>
      <c r="E32" s="6" t="s">
        <v>174</v>
      </c>
      <c r="F32" s="6"/>
      <c r="K32" s="2"/>
      <c r="L32" s="2"/>
    </row>
    <row r="33" spans="1:12">
      <c r="A33" s="47" t="s">
        <v>207</v>
      </c>
      <c r="B33" s="36">
        <v>56</v>
      </c>
      <c r="C33" s="36">
        <f>IF(RIGHT(B33,1)="k", VALUE(LEFT(B33,LEN(B33)-1))*1000, VALUE(B33))</f>
        <v>56</v>
      </c>
      <c r="D33" s="47"/>
      <c r="E33" s="2" t="s">
        <v>174</v>
      </c>
      <c r="F33" s="2"/>
      <c r="K33" s="2"/>
      <c r="L33" s="2"/>
    </row>
    <row r="34" spans="1:12">
      <c r="A34" s="47" t="s">
        <v>264</v>
      </c>
      <c r="B34" s="47">
        <v>100</v>
      </c>
      <c r="C34" s="47">
        <f>IF(RIGHT(B34,1)="k", VALUE(LEFT(B34,LEN(B34)-1))*1000, VALUE(B34))</f>
        <v>100</v>
      </c>
      <c r="D34" s="47"/>
      <c r="E34" s="3" t="s">
        <v>265</v>
      </c>
      <c r="F34" s="3"/>
      <c r="H34" s="2"/>
      <c r="J34" s="2"/>
      <c r="K34" s="2"/>
      <c r="L34" s="2"/>
    </row>
    <row r="35" spans="1:12">
      <c r="A35" s="47" t="s">
        <v>271</v>
      </c>
      <c r="B35" s="47" t="s">
        <v>272</v>
      </c>
      <c r="C35" s="47">
        <f>IF(RIGHT(B35,1)="k", VALUE(LEFT(B35,LEN(B35)-1))*1000, VALUE(B35))</f>
        <v>2210</v>
      </c>
      <c r="D35" s="47"/>
      <c r="E35" s="3" t="s">
        <v>265</v>
      </c>
      <c r="F35" s="3"/>
      <c r="K35" s="2"/>
      <c r="L35" s="2"/>
    </row>
    <row r="36" spans="1:12">
      <c r="A36" s="47" t="s">
        <v>287</v>
      </c>
      <c r="B36" s="47">
        <v>402</v>
      </c>
      <c r="C36" s="47">
        <f>IF(RIGHT(B36,1)="K",VALUE(LEFT(B36,LEN(B36)-1))*1000,VALUE(B36))</f>
        <v>402</v>
      </c>
      <c r="D36" s="47"/>
      <c r="E36" s="2" t="s">
        <v>178</v>
      </c>
      <c r="F36" s="2"/>
      <c r="K36" s="2"/>
      <c r="L36" s="2"/>
    </row>
    <row r="37" spans="1:12">
      <c r="A37" s="29" t="s">
        <v>377</v>
      </c>
      <c r="B37" s="29">
        <v>43.2</v>
      </c>
      <c r="C37" s="29">
        <f>IF(RIGHT(B37,1)="K",VALUE(LEFT(B37,LEN(B37)-1))*1000,VALUE(B37))</f>
        <v>43.2</v>
      </c>
      <c r="D37" s="29"/>
      <c r="E37" s="28" t="s">
        <v>178</v>
      </c>
      <c r="F37" s="28"/>
      <c r="K37" s="2"/>
      <c r="L37" s="2"/>
    </row>
    <row r="38" spans="1:12">
      <c r="A38" s="47" t="s">
        <v>295</v>
      </c>
      <c r="B38" s="47">
        <v>56</v>
      </c>
      <c r="C38" s="47">
        <f>IF(RIGHT(B38,1)="K",VALUE(LEFT(B38,LEN(B38)-1))*1000,VALUE(B38))</f>
        <v>56</v>
      </c>
      <c r="D38" s="47"/>
      <c r="E38" s="47"/>
      <c r="F38" s="47"/>
      <c r="K38" s="2"/>
      <c r="L38" s="2"/>
    </row>
    <row r="39" spans="1:12">
      <c r="A39" s="47" t="s">
        <v>330</v>
      </c>
      <c r="B39" s="47">
        <v>56.2</v>
      </c>
      <c r="C39" s="47">
        <f>IF(RIGHT(B39,1)="K",VALUE(LEFT(B39,LEN(B39)-1))*1000,VALUE(B39))</f>
        <v>56.2</v>
      </c>
      <c r="D39" s="47"/>
      <c r="E39" s="2" t="s">
        <v>178</v>
      </c>
      <c r="F39" s="2"/>
      <c r="K39" s="2"/>
      <c r="L39" s="2"/>
    </row>
    <row r="40" spans="1:12">
      <c r="A40" s="47" t="s">
        <v>220</v>
      </c>
      <c r="B40" s="47" t="s">
        <v>221</v>
      </c>
      <c r="C40" s="47">
        <f>IF(RIGHT(B40,1)="k", VALUE(LEFT(B40,LEN(B40)-1))*1000, VALUE(B40))</f>
        <v>8870</v>
      </c>
      <c r="D40" s="47"/>
      <c r="E40" s="2" t="s">
        <v>178</v>
      </c>
      <c r="F40" s="2"/>
      <c r="K40" s="2"/>
      <c r="L40" s="2"/>
    </row>
    <row r="41" spans="1:12">
      <c r="A41" s="54" t="s">
        <v>702</v>
      </c>
      <c r="B41" s="55" t="s">
        <v>701</v>
      </c>
      <c r="C41" s="29">
        <f>IF(RIGHT(B41,1)="K",VALUE(LEFT(B41,LEN(B41)-1))*1000,VALUE(B41))</f>
        <v>1000</v>
      </c>
      <c r="D41" s="29"/>
      <c r="E41" s="54" t="s">
        <v>690</v>
      </c>
      <c r="F41" s="55">
        <v>500</v>
      </c>
    </row>
    <row r="42" spans="1:12">
      <c r="A42" s="47" t="s">
        <v>836</v>
      </c>
      <c r="B42" s="47" t="s">
        <v>293</v>
      </c>
      <c r="C42" s="47">
        <f>IF(RIGHT(B42,1)="K",VALUE(LEFT(B42,LEN(B42)-1))*1000,VALUE(B42))</f>
        <v>10000</v>
      </c>
      <c r="D42" s="47"/>
      <c r="E42" s="2" t="s">
        <v>174</v>
      </c>
      <c r="F42" s="47">
        <v>200</v>
      </c>
      <c r="K42" s="2"/>
      <c r="L42" s="2"/>
    </row>
    <row r="43" spans="1:12">
      <c r="A43" s="47" t="s">
        <v>795</v>
      </c>
      <c r="B43" s="47" t="s">
        <v>794</v>
      </c>
      <c r="C43" s="47">
        <f>IF(RIGHT(B43,1)="K",VALUE(LEFT(B43,LEN(B43)-1))*1000,VALUE(B43))</f>
        <v>15000</v>
      </c>
      <c r="D43" s="47"/>
      <c r="E43" s="2" t="s">
        <v>174</v>
      </c>
      <c r="F43" s="47">
        <v>4000</v>
      </c>
      <c r="K43" s="2"/>
      <c r="L43" s="2"/>
    </row>
    <row r="44" spans="1:12" ht="15.6">
      <c r="A44" s="56" t="s">
        <v>917</v>
      </c>
      <c r="B44" s="56" t="s">
        <v>766</v>
      </c>
      <c r="C44" s="47">
        <f>IF(RIGHT(B44,1)="K",VALUE(LEFT(B44,LEN(B44)-1))*1000,VALUE(B44))</f>
        <v>300000</v>
      </c>
      <c r="D44" s="47"/>
      <c r="E44" s="57" t="s">
        <v>174</v>
      </c>
      <c r="F44" s="57" t="s">
        <v>922</v>
      </c>
      <c r="J44" s="2"/>
      <c r="K44" s="2"/>
      <c r="L44" s="2"/>
    </row>
    <row r="45" spans="1:12">
      <c r="A45" s="29" t="s">
        <v>386</v>
      </c>
      <c r="B45" s="29" t="s">
        <v>387</v>
      </c>
      <c r="C45" s="29">
        <f>IF(RIGHT(B45,1)="K",VALUE(LEFT(B45,LEN(B45)-1))*1000,VALUE(B45))</f>
        <v>2870</v>
      </c>
      <c r="D45" s="29"/>
      <c r="E45" s="28" t="s">
        <v>173</v>
      </c>
      <c r="F45" s="28"/>
      <c r="K45" s="2"/>
      <c r="L45" s="2"/>
    </row>
    <row r="46" spans="1:12">
      <c r="A46" s="29" t="s">
        <v>388</v>
      </c>
      <c r="B46" s="29" t="s">
        <v>389</v>
      </c>
      <c r="C46" s="29">
        <f>IF(RIGHT(B46,1)="K",VALUE(LEFT(B46,LEN(B46)-1))*1000,VALUE(B46))</f>
        <v>4990</v>
      </c>
      <c r="D46" s="29"/>
      <c r="E46" s="28" t="s">
        <v>173</v>
      </c>
      <c r="F46" s="28"/>
    </row>
    <row r="47" spans="1:12">
      <c r="A47" s="47" t="s">
        <v>857</v>
      </c>
      <c r="B47" s="47" t="s">
        <v>238</v>
      </c>
      <c r="C47" s="47">
        <f>IF(RIGHT(B47,1)="K",VALUE(LEFT(B47,LEN(B47)-1))*1000,VALUE(B47))</f>
        <v>7150</v>
      </c>
      <c r="D47" s="47"/>
      <c r="E47" s="2" t="s">
        <v>174</v>
      </c>
      <c r="F47" s="47">
        <v>500</v>
      </c>
      <c r="K47" s="2"/>
      <c r="L47" s="2"/>
    </row>
    <row r="48" spans="1:12">
      <c r="A48" s="47" t="s">
        <v>857</v>
      </c>
      <c r="B48" s="47" t="s">
        <v>238</v>
      </c>
      <c r="C48" s="47">
        <f>IF(RIGHT(B48,1)="K",VALUE(LEFT(B48,LEN(B48)-1))*1000,VALUE(B48))</f>
        <v>7150</v>
      </c>
      <c r="D48" s="47"/>
      <c r="E48" s="2" t="s">
        <v>174</v>
      </c>
      <c r="F48" s="47">
        <v>2000</v>
      </c>
      <c r="K48" s="2"/>
      <c r="L48" s="2"/>
    </row>
    <row r="49" spans="1:12">
      <c r="A49" s="29" t="s">
        <v>391</v>
      </c>
      <c r="B49" s="29">
        <v>10</v>
      </c>
      <c r="C49" s="29">
        <f>IF(RIGHT(B49,1)="K",VALUE(LEFT(B49,LEN(B49)-1))*1000,VALUE(B49))</f>
        <v>10</v>
      </c>
      <c r="D49" s="29"/>
      <c r="E49" s="28" t="s">
        <v>174</v>
      </c>
      <c r="F49" s="28"/>
      <c r="G49" s="2"/>
      <c r="K49" s="2"/>
      <c r="L49" s="2"/>
    </row>
    <row r="50" spans="1:12">
      <c r="A50" s="47" t="s">
        <v>281</v>
      </c>
      <c r="B50" s="35" t="s">
        <v>280</v>
      </c>
      <c r="C50" s="47">
        <f>IF(RIGHT(B50,1)="K",VALUE(LEFT(B50,LEN(B50)-1))*1000,VALUE(B50))</f>
        <v>3600</v>
      </c>
      <c r="D50" s="47"/>
      <c r="E50" s="2" t="s">
        <v>174</v>
      </c>
      <c r="F50" s="2"/>
      <c r="K50" s="2"/>
      <c r="L50" s="2"/>
    </row>
    <row r="51" spans="1:12">
      <c r="A51" s="29" t="s">
        <v>378</v>
      </c>
      <c r="B51" s="29">
        <v>3.9</v>
      </c>
      <c r="C51" s="29">
        <f>IF(RIGHT(B51,1)="K",VALUE(LEFT(B51,LEN(B51)-1))*1000,VALUE(B51))</f>
        <v>3.9</v>
      </c>
      <c r="D51" s="29"/>
      <c r="E51" s="28" t="s">
        <v>178</v>
      </c>
      <c r="F51" s="28"/>
      <c r="K51" s="2"/>
      <c r="L51" s="2"/>
    </row>
    <row r="52" spans="1:12">
      <c r="A52" s="29" t="s">
        <v>382</v>
      </c>
      <c r="B52" s="29">
        <v>47</v>
      </c>
      <c r="C52" s="29">
        <f>IF(RIGHT(B52,1)="K",VALUE(LEFT(B52,LEN(B52)-1))*1000,VALUE(B52))</f>
        <v>47</v>
      </c>
      <c r="D52" s="29"/>
      <c r="E52" s="29">
        <v>1206</v>
      </c>
      <c r="F52" s="29"/>
      <c r="K52" s="2"/>
      <c r="L52" s="2"/>
    </row>
    <row r="53" spans="1:12">
      <c r="A53" s="47" t="s">
        <v>269</v>
      </c>
      <c r="B53" s="47">
        <v>88.7</v>
      </c>
      <c r="C53" s="47">
        <f>IF(RIGHT(B53,1)="k", VALUE(LEFT(B53,LEN(B53)-1))*1000, VALUE(B53))</f>
        <v>88.7</v>
      </c>
      <c r="D53" s="47"/>
      <c r="E53" s="3" t="s">
        <v>265</v>
      </c>
      <c r="F53" s="3"/>
      <c r="K53" s="2"/>
      <c r="L53" s="2"/>
    </row>
    <row r="54" spans="1:12">
      <c r="A54" s="47" t="s">
        <v>245</v>
      </c>
      <c r="B54" s="47" t="s">
        <v>246</v>
      </c>
      <c r="C54" s="47">
        <f>IF(RIGHT(B54,1)="k", VALUE(LEFT(B54,LEN(B54)-1))*1000, VALUE(B54))</f>
        <v>88700</v>
      </c>
      <c r="D54" s="47"/>
      <c r="E54" s="47"/>
      <c r="F54" s="47"/>
      <c r="K54" s="2"/>
      <c r="L54" s="2"/>
    </row>
    <row r="55" spans="1:12">
      <c r="A55" s="47" t="s">
        <v>356</v>
      </c>
      <c r="B55" s="47">
        <v>100</v>
      </c>
      <c r="C55" s="47">
        <f>IF(RIGHT(B55,1)="K",VALUE(LEFT(B55,LEN(B55)-1))*1000,VALUE(B55))</f>
        <v>100</v>
      </c>
      <c r="D55" s="47"/>
      <c r="E55" s="2" t="s">
        <v>173</v>
      </c>
      <c r="F55" s="2"/>
      <c r="K55" s="2"/>
      <c r="L55" s="2"/>
    </row>
    <row r="56" spans="1:12" ht="15.6">
      <c r="A56" s="56" t="s">
        <v>893</v>
      </c>
      <c r="B56" s="56">
        <v>100</v>
      </c>
      <c r="C56" s="47">
        <f>IF(RIGHT(B56,1)="K",VALUE(LEFT(B56,LEN(B56)-1))*1000,VALUE(B56))</f>
        <v>100</v>
      </c>
      <c r="D56" s="47"/>
      <c r="E56" s="57" t="s">
        <v>173</v>
      </c>
      <c r="F56" s="57" t="s">
        <v>924</v>
      </c>
      <c r="K56" s="2"/>
      <c r="L56" s="2"/>
    </row>
    <row r="57" spans="1:12" ht="15.6">
      <c r="A57" s="56" t="s">
        <v>892</v>
      </c>
      <c r="B57" s="56">
        <v>50</v>
      </c>
      <c r="C57" s="47">
        <f>IF(RIGHT(B57,1)="K",VALUE(LEFT(B57,LEN(B57)-1))*1000,VALUE(B57))</f>
        <v>50</v>
      </c>
      <c r="D57" s="47"/>
      <c r="E57" s="57" t="s">
        <v>173</v>
      </c>
      <c r="F57" s="57" t="s">
        <v>923</v>
      </c>
      <c r="K57" s="2"/>
      <c r="L57" s="2"/>
    </row>
    <row r="58" spans="1:12">
      <c r="A58" s="47" t="s">
        <v>358</v>
      </c>
      <c r="B58" s="47">
        <v>50</v>
      </c>
      <c r="C58" s="47">
        <f>IF(RIGHT(B58,1)="K",VALUE(LEFT(B58,LEN(B58)-1))*1000,VALUE(B58))</f>
        <v>50</v>
      </c>
      <c r="D58" s="47"/>
      <c r="E58" s="2" t="s">
        <v>174</v>
      </c>
      <c r="F58" s="2"/>
      <c r="K58" s="2"/>
      <c r="L58" s="2"/>
    </row>
    <row r="59" spans="1:12">
      <c r="A59" s="47" t="s">
        <v>355</v>
      </c>
      <c r="B59" s="47"/>
      <c r="C59" s="47">
        <f>IF(RIGHT(B59,1)="K",VALUE(LEFT(B59,LEN(B59)-1))*1000,VALUE(B59))</f>
        <v>0</v>
      </c>
      <c r="D59" s="47"/>
      <c r="E59" s="47"/>
      <c r="F59" s="47"/>
      <c r="K59" s="2"/>
      <c r="L59" s="2"/>
    </row>
    <row r="60" spans="1:12">
      <c r="A60" s="29" t="s">
        <v>754</v>
      </c>
      <c r="B60" s="29" t="s">
        <v>753</v>
      </c>
      <c r="C60" s="29">
        <f>IF(RIGHT(B60,1)="K",VALUE(LEFT(B60,LEN(B60)-1))*1000,VALUE(B60))</f>
        <v>10000</v>
      </c>
      <c r="D60" s="29"/>
      <c r="E60" s="28" t="s">
        <v>178</v>
      </c>
      <c r="F60" s="28">
        <v>3000</v>
      </c>
      <c r="K60" s="2"/>
      <c r="L60" s="2"/>
    </row>
    <row r="61" spans="1:12">
      <c r="A61" s="29" t="s">
        <v>395</v>
      </c>
      <c r="B61" s="29" t="s">
        <v>182</v>
      </c>
      <c r="C61" s="29">
        <f>IF(RIGHT(B61,1)="K",VALUE(LEFT(B61,LEN(B61)-1))*1000,VALUE(B61))</f>
        <v>1000</v>
      </c>
      <c r="D61" s="29"/>
      <c r="E61" s="28" t="s">
        <v>173</v>
      </c>
      <c r="F61" s="28"/>
      <c r="K61" s="2"/>
      <c r="L61" s="2"/>
    </row>
    <row r="62" spans="1:12">
      <c r="A62" s="29" t="s">
        <v>393</v>
      </c>
      <c r="B62" s="29" t="s">
        <v>394</v>
      </c>
      <c r="C62" s="29">
        <f>IF(RIGHT(B62,1)="K",VALUE(LEFT(B62,LEN(B62)-1))*1000,VALUE(B62))</f>
        <v>2000</v>
      </c>
      <c r="D62" s="29"/>
      <c r="E62" s="28" t="s">
        <v>174</v>
      </c>
      <c r="F62" s="28"/>
    </row>
    <row r="63" spans="1:12">
      <c r="A63" s="29" t="s">
        <v>397</v>
      </c>
      <c r="B63" s="29" t="s">
        <v>181</v>
      </c>
      <c r="C63" s="29">
        <f>IF(RIGHT(B63,1)="K",VALUE(LEFT(B63,LEN(B63)-1))*1000,VALUE(B63))</f>
        <v>200000</v>
      </c>
      <c r="D63" s="29"/>
      <c r="E63" s="28" t="s">
        <v>174</v>
      </c>
      <c r="F63" s="28"/>
      <c r="K63" s="2"/>
      <c r="L63" s="2"/>
    </row>
    <row r="64" spans="1:12">
      <c r="A64" s="29" t="s">
        <v>379</v>
      </c>
      <c r="B64" s="29" t="s">
        <v>380</v>
      </c>
      <c r="C64" s="29">
        <f>IF(RIGHT(B64,1)="K",VALUE(LEFT(B64,LEN(B64)-1))*1000,VALUE(B64))</f>
        <v>41200</v>
      </c>
      <c r="D64" s="29"/>
      <c r="E64" s="28" t="s">
        <v>174</v>
      </c>
      <c r="F64" s="28"/>
      <c r="K64" s="2"/>
      <c r="L64" s="2"/>
    </row>
    <row r="65" spans="1:12">
      <c r="A65" s="47" t="s">
        <v>292</v>
      </c>
      <c r="B65" s="47" t="s">
        <v>293</v>
      </c>
      <c r="C65" s="47">
        <f>IF(RIGHT(B65,1)="K",VALUE(LEFT(B65,LEN(B65)-1))*1000,VALUE(B65))</f>
        <v>10000</v>
      </c>
      <c r="D65" s="47"/>
      <c r="E65" s="2" t="s">
        <v>178</v>
      </c>
      <c r="F65" s="2"/>
      <c r="K65" s="2"/>
      <c r="L65" s="2"/>
    </row>
    <row r="66" spans="1:12">
      <c r="A66" s="47" t="s">
        <v>288</v>
      </c>
      <c r="B66" s="47" t="s">
        <v>289</v>
      </c>
      <c r="C66" s="47">
        <f>IF(RIGHT(B66,1)="K",VALUE(LEFT(B66,LEN(B66)-1))*1000,VALUE(B66))</f>
        <v>1500</v>
      </c>
      <c r="D66" s="47"/>
      <c r="E66" s="2" t="s">
        <v>178</v>
      </c>
      <c r="F66" s="2"/>
      <c r="K66" s="2"/>
      <c r="L66" s="2"/>
    </row>
    <row r="67" spans="1:12">
      <c r="A67" s="47" t="s">
        <v>803</v>
      </c>
      <c r="B67" s="47" t="s">
        <v>211</v>
      </c>
      <c r="C67" s="47">
        <f>IF(RIGHT(B67,1)="K",VALUE(LEFT(B67,LEN(B67)-1))*1000,VALUE(B67))</f>
        <v>30000</v>
      </c>
      <c r="D67" s="47"/>
      <c r="E67" s="2" t="s">
        <v>174</v>
      </c>
      <c r="F67" s="47">
        <v>5000</v>
      </c>
      <c r="K67" s="2"/>
      <c r="L67" s="2"/>
    </row>
    <row r="68" spans="1:12">
      <c r="A68" s="29" t="s">
        <v>381</v>
      </c>
      <c r="B68" s="29">
        <v>243</v>
      </c>
      <c r="C68" s="29">
        <f>IF(RIGHT(B68,1)="K",VALUE(LEFT(B68,LEN(B68)-1))*1000,VALUE(B68))</f>
        <v>243</v>
      </c>
      <c r="D68" s="29"/>
      <c r="E68" s="29">
        <v>1206</v>
      </c>
      <c r="F68" s="29"/>
      <c r="K68" s="2"/>
      <c r="L68" s="2"/>
    </row>
    <row r="69" spans="1:12">
      <c r="A69" s="29" t="s">
        <v>390</v>
      </c>
      <c r="B69" s="29" t="s">
        <v>182</v>
      </c>
      <c r="C69" s="29">
        <f>IF(RIGHT(B69,1)="K",VALUE(LEFT(B69,LEN(B69)-1))*1000,VALUE(B69))</f>
        <v>1000</v>
      </c>
      <c r="D69" s="29"/>
      <c r="E69" s="29">
        <v>1206</v>
      </c>
      <c r="F69" s="29"/>
      <c r="K69" s="2"/>
      <c r="L69" s="2"/>
    </row>
    <row r="70" spans="1:12">
      <c r="A70" s="29" t="s">
        <v>396</v>
      </c>
      <c r="B70" s="29">
        <v>100</v>
      </c>
      <c r="C70" s="29">
        <f>IF(RIGHT(B70,1)="K",VALUE(LEFT(B70,LEN(B70)-1))*1000,VALUE(B70))</f>
        <v>100</v>
      </c>
      <c r="D70" s="29"/>
      <c r="E70" s="29">
        <v>1206</v>
      </c>
      <c r="F70" s="29"/>
      <c r="K70" s="2"/>
      <c r="L70" s="2"/>
    </row>
    <row r="71" spans="1:12">
      <c r="A71" s="29" t="s">
        <v>374</v>
      </c>
      <c r="B71" s="29" t="s">
        <v>375</v>
      </c>
      <c r="C71" s="29" t="e">
        <f>IF(RIGHT(B71,1)="K",VALUE(LEFT(B71,LEN(B71)-1))*1000,VALUE(B71))</f>
        <v>#VALUE!</v>
      </c>
      <c r="D71" s="29"/>
      <c r="E71" s="28" t="s">
        <v>174</v>
      </c>
      <c r="F71" s="28"/>
      <c r="K71" s="2"/>
      <c r="L71" s="2"/>
    </row>
    <row r="72" spans="1:12">
      <c r="A72" s="47" t="s">
        <v>326</v>
      </c>
      <c r="B72" s="47" t="s">
        <v>228</v>
      </c>
      <c r="C72" s="47">
        <f>IF(RIGHT(B72,1)="K",VALUE(LEFT(B72,LEN(B72)-1))*1000,VALUE(B72))</f>
        <v>20000</v>
      </c>
      <c r="D72" s="47"/>
      <c r="E72" s="2" t="s">
        <v>178</v>
      </c>
      <c r="F72" s="2"/>
      <c r="K72" s="2"/>
      <c r="L72" s="2"/>
    </row>
    <row r="73" spans="1:12">
      <c r="A73" s="47" t="s">
        <v>290</v>
      </c>
      <c r="B73" s="47">
        <v>267</v>
      </c>
      <c r="C73" s="47">
        <f>IF(RIGHT(B73,1)="K",VALUE(LEFT(B73,LEN(B73)-1))*1000,VALUE(B73))</f>
        <v>267</v>
      </c>
      <c r="D73" s="47"/>
      <c r="E73" s="2" t="s">
        <v>175</v>
      </c>
      <c r="F73" s="2"/>
      <c r="K73" s="2"/>
      <c r="L73" s="2"/>
    </row>
    <row r="74" spans="1:12">
      <c r="A74" s="47" t="s">
        <v>762</v>
      </c>
      <c r="B74" s="47" t="s">
        <v>763</v>
      </c>
      <c r="C74" s="47">
        <f>IF(RIGHT(B74,1)="K",VALUE(LEFT(B74,LEN(B74)-1))*1000,VALUE(B74))</f>
        <v>3300</v>
      </c>
      <c r="D74" s="47"/>
      <c r="E74" s="2" t="s">
        <v>178</v>
      </c>
      <c r="F74" s="47">
        <v>5000</v>
      </c>
      <c r="K74" s="2"/>
      <c r="L74" s="2"/>
    </row>
    <row r="75" spans="1:12" ht="15.6">
      <c r="A75" s="56" t="s">
        <v>894</v>
      </c>
      <c r="B75" s="56">
        <v>100</v>
      </c>
      <c r="C75" s="47">
        <f>IF(RIGHT(B75,1)="K",VALUE(LEFT(B75,LEN(B75)-1))*1000,VALUE(B75))</f>
        <v>100</v>
      </c>
      <c r="D75" s="47"/>
      <c r="E75" s="57" t="s">
        <v>173</v>
      </c>
      <c r="F75" s="57" t="s">
        <v>925</v>
      </c>
      <c r="K75" s="2"/>
      <c r="L75" s="2"/>
    </row>
    <row r="76" spans="1:12" ht="15.6">
      <c r="A76" s="56" t="s">
        <v>899</v>
      </c>
      <c r="B76" s="56" t="s">
        <v>293</v>
      </c>
      <c r="C76" s="47">
        <f>IF(RIGHT(B76,1)="K",VALUE(LEFT(B76,LEN(B76)-1))*1000,VALUE(B76))</f>
        <v>10000</v>
      </c>
      <c r="D76" s="47"/>
      <c r="E76" s="57" t="s">
        <v>173</v>
      </c>
      <c r="F76" s="57" t="s">
        <v>922</v>
      </c>
      <c r="K76" s="2"/>
      <c r="L76" s="2"/>
    </row>
    <row r="77" spans="1:12" ht="15.6">
      <c r="A77" s="56" t="s">
        <v>897</v>
      </c>
      <c r="B77" s="56" t="s">
        <v>744</v>
      </c>
      <c r="C77" s="47">
        <f>IF(RIGHT(B77,1)="K",VALUE(LEFT(B77,LEN(B77)-1))*1000,VALUE(B77))</f>
        <v>1000</v>
      </c>
      <c r="D77" s="47"/>
      <c r="E77" s="57" t="s">
        <v>173</v>
      </c>
      <c r="F77" s="57" t="s">
        <v>922</v>
      </c>
      <c r="K77" s="2"/>
      <c r="L77" s="2"/>
    </row>
    <row r="78" spans="1:12">
      <c r="A78" s="47" t="s">
        <v>255</v>
      </c>
      <c r="B78" s="47" t="s">
        <v>256</v>
      </c>
      <c r="C78" s="47">
        <f>IF(RIGHT(B78,1)="k", VALUE(LEFT(B78,LEN(B78)-1))*1000, VALUE(B78))</f>
        <v>20000</v>
      </c>
      <c r="D78" s="47"/>
      <c r="E78" s="3" t="s">
        <v>257</v>
      </c>
      <c r="F78" s="3"/>
      <c r="K78" s="2"/>
      <c r="L78" s="2"/>
    </row>
    <row r="79" spans="1:12" ht="15.6">
      <c r="A79" s="56" t="s">
        <v>900</v>
      </c>
      <c r="B79" s="56" t="s">
        <v>228</v>
      </c>
      <c r="C79" s="47">
        <f>IF(RIGHT(B79,1)="K",VALUE(LEFT(B79,LEN(B79)-1))*1000,VALUE(B79))</f>
        <v>20000</v>
      </c>
      <c r="D79" s="47"/>
      <c r="E79" s="57" t="s">
        <v>173</v>
      </c>
      <c r="F79" s="57" t="s">
        <v>922</v>
      </c>
      <c r="K79" s="2"/>
      <c r="L79" s="2"/>
    </row>
    <row r="80" spans="1:12" ht="15.6">
      <c r="A80" s="56" t="s">
        <v>891</v>
      </c>
      <c r="B80" s="56">
        <v>49.9</v>
      </c>
      <c r="C80" s="47">
        <f>IF(RIGHT(B80,1)="K",VALUE(LEFT(B80,LEN(B80)-1))*1000,VALUE(B80))</f>
        <v>49.9</v>
      </c>
      <c r="D80" s="47"/>
      <c r="E80" s="57" t="s">
        <v>173</v>
      </c>
      <c r="F80" s="57" t="s">
        <v>922</v>
      </c>
    </row>
    <row r="81" spans="1:6" ht="15.6">
      <c r="A81" s="56" t="s">
        <v>891</v>
      </c>
      <c r="B81" s="56">
        <v>49.9</v>
      </c>
      <c r="C81" s="47">
        <f>IF(RIGHT(B81,1)="K",VALUE(LEFT(B81,LEN(B81)-1))*1000,VALUE(B81))</f>
        <v>49.9</v>
      </c>
      <c r="D81" s="47"/>
      <c r="E81" s="57" t="s">
        <v>173</v>
      </c>
      <c r="F81" s="57" t="s">
        <v>922</v>
      </c>
    </row>
    <row r="82" spans="1:6">
      <c r="A82" s="43" t="s">
        <v>705</v>
      </c>
      <c r="B82" s="43">
        <v>0</v>
      </c>
      <c r="C82" s="43">
        <f>IF(RIGHT(B82,1)="K",VALUE(LEFT(B82,LEN(B82)-1))*1000,VALUE(B82))</f>
        <v>0</v>
      </c>
      <c r="D82" s="43"/>
      <c r="E82" s="44" t="s">
        <v>173</v>
      </c>
      <c r="F82" s="43">
        <v>200</v>
      </c>
    </row>
    <row r="83" spans="1:6" ht="15.6">
      <c r="A83" s="56" t="s">
        <v>898</v>
      </c>
      <c r="B83" s="56" t="s">
        <v>293</v>
      </c>
      <c r="C83" s="47">
        <f>IF(RIGHT(B83,1)="K",VALUE(LEFT(B83,LEN(B83)-1))*1000,VALUE(B83))</f>
        <v>10000</v>
      </c>
      <c r="D83" s="47"/>
      <c r="E83" s="57" t="s">
        <v>173</v>
      </c>
      <c r="F83" s="57" t="s">
        <v>922</v>
      </c>
    </row>
    <row r="84" spans="1:6" ht="15.6">
      <c r="A84" s="56" t="s">
        <v>901</v>
      </c>
      <c r="B84" s="56" t="s">
        <v>228</v>
      </c>
      <c r="C84" s="47">
        <f>IF(RIGHT(B84,1)="K",VALUE(LEFT(B84,LEN(B84)-1))*1000,VALUE(B84))</f>
        <v>20000</v>
      </c>
      <c r="D84" s="47"/>
      <c r="E84" s="57" t="s">
        <v>173</v>
      </c>
      <c r="F84" s="57" t="s">
        <v>922</v>
      </c>
    </row>
    <row r="85" spans="1:6">
      <c r="A85" s="47" t="s">
        <v>814</v>
      </c>
      <c r="B85" s="47">
        <v>100</v>
      </c>
      <c r="C85" s="47">
        <f>IF(RIGHT(B85,1)="K",VALUE(LEFT(B85,LEN(B85)-1))*1000,VALUE(B85))</f>
        <v>100</v>
      </c>
      <c r="D85" s="47"/>
      <c r="E85" s="2" t="s">
        <v>174</v>
      </c>
      <c r="F85" s="47">
        <v>4000</v>
      </c>
    </row>
    <row r="86" spans="1:6">
      <c r="A86" s="47" t="s">
        <v>254</v>
      </c>
      <c r="B86" s="47">
        <v>100</v>
      </c>
      <c r="C86" s="47">
        <f>IF(RIGHT(B86,1)="k", VALUE(LEFT(B86,LEN(B86)-1))*1000, VALUE(B86))</f>
        <v>100</v>
      </c>
      <c r="D86" s="47"/>
      <c r="E86" s="3" t="s">
        <v>248</v>
      </c>
      <c r="F86" s="3"/>
    </row>
    <row r="87" spans="1:6">
      <c r="A87" s="47" t="s">
        <v>218</v>
      </c>
      <c r="B87" s="47" t="s">
        <v>219</v>
      </c>
      <c r="C87" s="47">
        <f>IF(RIGHT(B87,1)="k", VALUE(LEFT(B87,LEN(B87)-1))*1000, VALUE(B87))</f>
        <v>102000</v>
      </c>
      <c r="D87" s="47"/>
      <c r="E87" s="2" t="s">
        <v>174</v>
      </c>
      <c r="F87" s="2"/>
    </row>
    <row r="88" spans="1:6">
      <c r="A88" s="43" t="s">
        <v>714</v>
      </c>
      <c r="B88" s="43" t="s">
        <v>293</v>
      </c>
      <c r="C88" s="43">
        <f>IF(RIGHT(B88,1)="K",VALUE(LEFT(B88,LEN(B88)-1))*1000,VALUE(B88))</f>
        <v>10000</v>
      </c>
      <c r="D88" s="43"/>
      <c r="E88" s="44" t="s">
        <v>174</v>
      </c>
      <c r="F88" s="43">
        <v>100</v>
      </c>
    </row>
    <row r="89" spans="1:6">
      <c r="A89" s="47" t="s">
        <v>286</v>
      </c>
      <c r="B89" s="47">
        <v>10</v>
      </c>
      <c r="C89" s="47">
        <f>IF(RIGHT(B89,1)="K",VALUE(LEFT(B89,LEN(B89)-1))*1000,VALUE(B89))</f>
        <v>10</v>
      </c>
      <c r="D89" s="47"/>
      <c r="E89" s="2" t="s">
        <v>174</v>
      </c>
      <c r="F89" s="2"/>
    </row>
    <row r="90" spans="1:6">
      <c r="A90" s="47" t="s">
        <v>812</v>
      </c>
      <c r="B90" s="47">
        <v>113</v>
      </c>
      <c r="C90" s="47">
        <f>IF(RIGHT(B90,1)="K",VALUE(LEFT(B90,LEN(B90)-1))*1000,VALUE(B90))</f>
        <v>113</v>
      </c>
      <c r="D90" s="47"/>
      <c r="E90" s="2" t="s">
        <v>174</v>
      </c>
      <c r="F90" s="47">
        <v>5000</v>
      </c>
    </row>
    <row r="91" spans="1:6">
      <c r="A91" s="47" t="s">
        <v>223</v>
      </c>
      <c r="B91" s="47">
        <v>133</v>
      </c>
      <c r="C91" s="47">
        <f>IF(RIGHT(B91,1)="k", VALUE(LEFT(B91,LEN(B91)-1))*1000, VALUE(B91))</f>
        <v>133</v>
      </c>
      <c r="D91" s="47"/>
      <c r="E91" s="2" t="s">
        <v>174</v>
      </c>
      <c r="F91" s="2"/>
    </row>
    <row r="92" spans="1:6">
      <c r="A92" s="47" t="s">
        <v>250</v>
      </c>
      <c r="B92" s="47">
        <v>13</v>
      </c>
      <c r="C92" s="47">
        <f>IF(RIGHT(B92,1)="k", VALUE(LEFT(B92,LEN(B92)-1))*1000, VALUE(B92))</f>
        <v>13</v>
      </c>
      <c r="D92" s="47"/>
      <c r="E92" s="3" t="s">
        <v>248</v>
      </c>
      <c r="F92" s="3"/>
    </row>
    <row r="93" spans="1:6">
      <c r="A93" s="47" t="s">
        <v>793</v>
      </c>
      <c r="B93" s="47" t="s">
        <v>794</v>
      </c>
      <c r="C93" s="47">
        <f>IF(RIGHT(B93,1)="K",VALUE(LEFT(B93,LEN(B93)-1))*1000,VALUE(B93))</f>
        <v>15000</v>
      </c>
      <c r="D93" s="47"/>
      <c r="E93" s="2" t="s">
        <v>174</v>
      </c>
      <c r="F93" s="47">
        <v>3000</v>
      </c>
    </row>
    <row r="94" spans="1:6">
      <c r="A94" s="47" t="s">
        <v>827</v>
      </c>
      <c r="B94" s="47" t="s">
        <v>828</v>
      </c>
      <c r="C94" s="47">
        <f>IF(RIGHT(B94,1)="K",VALUE(LEFT(B94,LEN(B94)-1))*1000,VALUE(B94))</f>
        <v>1150</v>
      </c>
      <c r="D94" s="47"/>
      <c r="E94" s="2" t="s">
        <v>174</v>
      </c>
      <c r="F94" s="47">
        <v>5000</v>
      </c>
    </row>
    <row r="95" spans="1:6">
      <c r="A95" s="47" t="s">
        <v>831</v>
      </c>
      <c r="B95" s="47" t="s">
        <v>832</v>
      </c>
      <c r="C95" s="47">
        <f>IF(RIGHT(B95,1)="K",VALUE(LEFT(B95,LEN(B95)-1))*1000,VALUE(B95))</f>
        <v>1200</v>
      </c>
      <c r="D95" s="47"/>
      <c r="E95" s="2" t="s">
        <v>174</v>
      </c>
      <c r="F95" s="47">
        <v>2000</v>
      </c>
    </row>
    <row r="96" spans="1:6">
      <c r="A96" s="47" t="s">
        <v>760</v>
      </c>
      <c r="B96" s="47" t="s">
        <v>761</v>
      </c>
      <c r="C96" s="47">
        <f>IF(RIGHT(B96,1)="K",VALUE(LEFT(B96,LEN(B96)-1))*1000,VALUE(B96))</f>
        <v>1540</v>
      </c>
      <c r="D96" s="47"/>
      <c r="E96" s="2" t="s">
        <v>174</v>
      </c>
      <c r="F96" s="47">
        <v>5000</v>
      </c>
    </row>
    <row r="97" spans="1:6">
      <c r="A97" s="47" t="s">
        <v>835</v>
      </c>
      <c r="B97" s="47">
        <v>200</v>
      </c>
      <c r="C97" s="47">
        <f>IF(RIGHT(B97,1)="K",VALUE(LEFT(B97,LEN(B97)-1))*1000,VALUE(B97))</f>
        <v>200</v>
      </c>
      <c r="D97" s="47"/>
      <c r="E97" s="2" t="s">
        <v>174</v>
      </c>
      <c r="F97" s="47">
        <v>4000</v>
      </c>
    </row>
    <row r="98" spans="1:6">
      <c r="A98" s="47" t="s">
        <v>797</v>
      </c>
      <c r="B98" s="47" t="s">
        <v>228</v>
      </c>
      <c r="C98" s="47">
        <f>IF(RIGHT(B98,1)="K",VALUE(LEFT(B98,LEN(B98)-1))*1000,VALUE(B98))</f>
        <v>20000</v>
      </c>
      <c r="D98" s="47"/>
      <c r="E98" s="2" t="s">
        <v>174</v>
      </c>
      <c r="F98" s="47">
        <v>5000</v>
      </c>
    </row>
    <row r="99" spans="1:6">
      <c r="A99" s="47" t="s">
        <v>270</v>
      </c>
      <c r="B99" s="47">
        <v>215</v>
      </c>
      <c r="C99" s="47">
        <f>IF(RIGHT(B99,1)="k", VALUE(LEFT(B99,LEN(B99)-1))*1000, VALUE(B99))</f>
        <v>215</v>
      </c>
      <c r="D99" s="47"/>
      <c r="E99" s="3" t="s">
        <v>248</v>
      </c>
      <c r="F99" s="3"/>
    </row>
    <row r="100" spans="1:6">
      <c r="A100" s="47" t="s">
        <v>212</v>
      </c>
      <c r="B100" s="47">
        <v>240</v>
      </c>
      <c r="C100" s="47">
        <f>IF(RIGHT(B100,1)="k", VALUE(LEFT(B100,LEN(B100)-1))*1000, VALUE(B100))</f>
        <v>240</v>
      </c>
      <c r="D100" s="47"/>
      <c r="E100" s="2" t="s">
        <v>174</v>
      </c>
      <c r="F100" s="2"/>
    </row>
    <row r="101" spans="1:6">
      <c r="A101" s="47" t="s">
        <v>249</v>
      </c>
      <c r="B101" s="47">
        <v>24.9</v>
      </c>
      <c r="C101" s="47">
        <f>IF(RIGHT(B101,1)="k", VALUE(LEFT(B101,LEN(B101)-1))*1000, VALUE(B101))</f>
        <v>24.9</v>
      </c>
      <c r="D101" s="47"/>
      <c r="E101" s="3" t="s">
        <v>248</v>
      </c>
      <c r="F101" s="3"/>
    </row>
    <row r="102" spans="1:6">
      <c r="A102" s="47" t="s">
        <v>229</v>
      </c>
      <c r="B102" s="47" t="s">
        <v>230</v>
      </c>
      <c r="C102" s="47">
        <f>IF(RIGHT(B102,1)="k", VALUE(LEFT(B102,LEN(B102)-1))*1000, VALUE(B102))</f>
        <v>27000</v>
      </c>
      <c r="D102" s="47"/>
      <c r="E102" s="2" t="s">
        <v>174</v>
      </c>
      <c r="F102" s="2"/>
    </row>
    <row r="103" spans="1:6">
      <c r="A103" s="47" t="s">
        <v>222</v>
      </c>
      <c r="B103" s="47">
        <v>287</v>
      </c>
      <c r="C103" s="47">
        <f>IF(RIGHT(B103,1)="k", VALUE(LEFT(B103,LEN(B103)-1))*1000, VALUE(B103))</f>
        <v>287</v>
      </c>
      <c r="D103" s="47"/>
      <c r="E103" s="2" t="s">
        <v>174</v>
      </c>
      <c r="F103" s="2"/>
    </row>
    <row r="104" spans="1:6">
      <c r="A104" s="47" t="s">
        <v>222</v>
      </c>
      <c r="B104" s="47">
        <v>287</v>
      </c>
      <c r="C104" s="47">
        <f>IF(RIGHT(B104,1)="K",VALUE(LEFT(B104,LEN(B104)-1))*1000,VALUE(B104))</f>
        <v>287</v>
      </c>
      <c r="D104" s="47"/>
      <c r="E104" s="2" t="s">
        <v>174</v>
      </c>
      <c r="F104" s="47">
        <v>3000</v>
      </c>
    </row>
    <row r="105" spans="1:6">
      <c r="A105" s="47" t="s">
        <v>833</v>
      </c>
      <c r="B105" s="47" t="s">
        <v>834</v>
      </c>
      <c r="C105" s="47">
        <f>IF(RIGHT(B105,1)="K",VALUE(LEFT(B105,LEN(B105)-1))*1000,VALUE(B105))</f>
        <v>2050</v>
      </c>
      <c r="D105" s="47"/>
      <c r="E105" s="2" t="s">
        <v>174</v>
      </c>
      <c r="F105" s="47">
        <v>3000</v>
      </c>
    </row>
    <row r="106" spans="1:6">
      <c r="A106" s="47" t="s">
        <v>858</v>
      </c>
      <c r="B106" s="47" t="s">
        <v>859</v>
      </c>
      <c r="C106" s="47">
        <f>IF(RIGHT(B106,1)="K",VALUE(LEFT(B106,LEN(B106)-1))*1000,VALUE(B106))</f>
        <v>2940</v>
      </c>
      <c r="D106" s="47"/>
      <c r="E106" s="2" t="s">
        <v>174</v>
      </c>
      <c r="F106" s="47">
        <v>2000</v>
      </c>
    </row>
    <row r="107" spans="1:6">
      <c r="A107" s="47" t="s">
        <v>240</v>
      </c>
      <c r="B107" s="47" t="s">
        <v>241</v>
      </c>
      <c r="C107" s="47">
        <f>IF(RIGHT(B107,1)="k", VALUE(LEFT(B107,LEN(B107)-1))*1000, VALUE(B107))</f>
        <v>2000</v>
      </c>
      <c r="D107" s="47"/>
      <c r="E107" s="2" t="s">
        <v>174</v>
      </c>
      <c r="F107" s="2"/>
    </row>
    <row r="108" spans="1:6">
      <c r="A108" s="47" t="s">
        <v>240</v>
      </c>
      <c r="B108" s="47" t="s">
        <v>241</v>
      </c>
      <c r="C108" s="47">
        <f>IF(RIGHT(B108,1)="K",VALUE(LEFT(B108,LEN(B108)-1))*1000,VALUE(B108))</f>
        <v>2000</v>
      </c>
      <c r="D108" s="47"/>
      <c r="E108" s="2" t="s">
        <v>174</v>
      </c>
      <c r="F108" s="47">
        <v>4000</v>
      </c>
    </row>
    <row r="109" spans="1:6">
      <c r="A109" s="47" t="s">
        <v>804</v>
      </c>
      <c r="B109" s="47" t="s">
        <v>805</v>
      </c>
      <c r="C109" s="47">
        <f>IF(RIGHT(B109,1)="K",VALUE(LEFT(B109,LEN(B109)-1))*1000,VALUE(B109))</f>
        <v>30900</v>
      </c>
      <c r="D109" s="47"/>
      <c r="E109" s="2" t="s">
        <v>174</v>
      </c>
      <c r="F109" s="47">
        <v>5000</v>
      </c>
    </row>
    <row r="110" spans="1:6">
      <c r="A110" s="47" t="s">
        <v>837</v>
      </c>
      <c r="B110" s="47">
        <v>332</v>
      </c>
      <c r="C110" s="47">
        <f>IF(RIGHT(B110,1)="K",VALUE(LEFT(B110,LEN(B110)-1))*1000,VALUE(B110))</f>
        <v>332</v>
      </c>
      <c r="D110" s="47"/>
      <c r="E110" s="2" t="s">
        <v>174</v>
      </c>
      <c r="F110" s="47">
        <v>2000</v>
      </c>
    </row>
    <row r="111" spans="1:6" ht="15.6">
      <c r="A111" s="56" t="s">
        <v>902</v>
      </c>
      <c r="B111" s="56" t="s">
        <v>903</v>
      </c>
      <c r="C111" s="47">
        <f>IF(RIGHT(B111,1)="K",VALUE(LEFT(B111,LEN(B111)-1))*1000,VALUE(B111))</f>
        <v>33000</v>
      </c>
      <c r="D111" s="47"/>
      <c r="E111" s="57" t="s">
        <v>174</v>
      </c>
      <c r="F111" s="57" t="s">
        <v>922</v>
      </c>
    </row>
    <row r="112" spans="1:6">
      <c r="A112" s="47" t="s">
        <v>838</v>
      </c>
      <c r="B112" s="47">
        <v>374</v>
      </c>
      <c r="C112" s="47">
        <f>IF(RIGHT(B112,1)="K",VALUE(LEFT(B112,LEN(B112)-1))*1000,VALUE(B112))</f>
        <v>374</v>
      </c>
      <c r="D112" s="47"/>
      <c r="E112" s="2" t="s">
        <v>174</v>
      </c>
      <c r="F112" s="47">
        <v>4000</v>
      </c>
    </row>
    <row r="113" spans="1:6">
      <c r="A113" s="43" t="s">
        <v>712</v>
      </c>
      <c r="B113" s="43" t="s">
        <v>713</v>
      </c>
      <c r="C113" s="43">
        <f>IF(RIGHT(B113,1)="K",VALUE(LEFT(B113,LEN(B113)-1))*1000,VALUE(B113))</f>
        <v>3320</v>
      </c>
      <c r="D113" s="43"/>
      <c r="E113" s="44" t="s">
        <v>174</v>
      </c>
      <c r="F113" s="43">
        <v>300</v>
      </c>
    </row>
    <row r="114" spans="1:6">
      <c r="A114" s="47" t="s">
        <v>209</v>
      </c>
      <c r="B114" s="47">
        <v>402</v>
      </c>
      <c r="C114" s="47">
        <f>IF(RIGHT(B114,1)="k", VALUE(LEFT(B114,LEN(B114)-1))*1000, VALUE(B114))</f>
        <v>402</v>
      </c>
      <c r="D114" s="47"/>
      <c r="E114" s="2" t="s">
        <v>174</v>
      </c>
      <c r="F114" s="2"/>
    </row>
    <row r="115" spans="1:6">
      <c r="A115" s="47" t="s">
        <v>764</v>
      </c>
      <c r="B115" s="47">
        <v>453</v>
      </c>
      <c r="C115" s="47">
        <f>IF(RIGHT(B115,1)="K",VALUE(LEFT(B115,LEN(B115)-1))*1000,VALUE(B115))</f>
        <v>453</v>
      </c>
      <c r="D115" s="47"/>
      <c r="E115" s="2" t="s">
        <v>174</v>
      </c>
      <c r="F115" s="47">
        <v>5000</v>
      </c>
    </row>
    <row r="116" spans="1:6" ht="15.6">
      <c r="A116" s="56" t="s">
        <v>905</v>
      </c>
      <c r="B116" s="56" t="s">
        <v>906</v>
      </c>
      <c r="C116" s="47">
        <f>IF(RIGHT(B116,1)="K",VALUE(LEFT(B116,LEN(B116)-1))*1000,VALUE(B116))</f>
        <v>47000</v>
      </c>
      <c r="D116" s="47"/>
      <c r="E116" s="57" t="s">
        <v>174</v>
      </c>
      <c r="F116" s="57" t="s">
        <v>922</v>
      </c>
    </row>
    <row r="117" spans="1:6">
      <c r="A117" s="41" t="s">
        <v>698</v>
      </c>
      <c r="B117" s="42">
        <v>50</v>
      </c>
      <c r="C117" s="43">
        <f>IF(RIGHT(B117,1)="K",VALUE(LEFT(B117,LEN(B117)-1))*1000,VALUE(B117))</f>
        <v>50</v>
      </c>
      <c r="D117" s="43"/>
      <c r="E117" s="41" t="s">
        <v>690</v>
      </c>
      <c r="F117" s="42">
        <v>1000</v>
      </c>
    </row>
    <row r="118" spans="1:6">
      <c r="A118" s="47" t="s">
        <v>231</v>
      </c>
      <c r="B118" s="47" t="s">
        <v>232</v>
      </c>
      <c r="C118" s="47">
        <f>IF(RIGHT(B118,1)="k", VALUE(LEFT(B118,LEN(B118)-1))*1000, VALUE(B118))</f>
        <v>4750</v>
      </c>
      <c r="D118" s="47"/>
      <c r="E118" s="2" t="s">
        <v>174</v>
      </c>
      <c r="F118" s="2"/>
    </row>
    <row r="119" spans="1:6">
      <c r="A119" s="47" t="s">
        <v>808</v>
      </c>
      <c r="B119" s="47">
        <v>53.6</v>
      </c>
      <c r="C119" s="47">
        <f>IF(RIGHT(B119,1)="K",VALUE(LEFT(B119,LEN(B119)-1))*1000,VALUE(B119))</f>
        <v>53.6</v>
      </c>
      <c r="D119" s="47"/>
      <c r="E119" s="2" t="s">
        <v>174</v>
      </c>
      <c r="F119" s="47">
        <v>2000</v>
      </c>
    </row>
    <row r="120" spans="1:6">
      <c r="A120" s="47" t="s">
        <v>853</v>
      </c>
      <c r="B120" s="47" t="s">
        <v>854</v>
      </c>
      <c r="C120" s="47">
        <f>IF(RIGHT(B120,1)="K",VALUE(LEFT(B120,LEN(B120)-1))*1000,VALUE(B120))</f>
        <v>5490</v>
      </c>
      <c r="D120" s="47"/>
      <c r="E120" s="2" t="s">
        <v>174</v>
      </c>
      <c r="F120" s="47">
        <v>4000</v>
      </c>
    </row>
    <row r="121" spans="1:6">
      <c r="A121" s="47" t="s">
        <v>840</v>
      </c>
      <c r="B121" s="47">
        <v>604</v>
      </c>
      <c r="C121" s="47">
        <f>IF(RIGHT(B121,1)="K",VALUE(LEFT(B121,LEN(B121)-1))*1000,VALUE(B121))</f>
        <v>604</v>
      </c>
      <c r="D121" s="47"/>
      <c r="E121" s="2" t="s">
        <v>174</v>
      </c>
      <c r="F121" s="47">
        <v>4000</v>
      </c>
    </row>
    <row r="122" spans="1:6">
      <c r="A122" s="47" t="s">
        <v>806</v>
      </c>
      <c r="B122" s="47">
        <v>64.900000000000006</v>
      </c>
      <c r="C122" s="47">
        <f>IF(RIGHT(B122,1)="K",VALUE(LEFT(B122,LEN(B122)-1))*1000,VALUE(B122))</f>
        <v>64.900000000000006</v>
      </c>
      <c r="D122" s="47"/>
      <c r="E122" s="2" t="s">
        <v>174</v>
      </c>
      <c r="F122" s="47">
        <v>3000</v>
      </c>
    </row>
    <row r="123" spans="1:6">
      <c r="A123" s="47" t="s">
        <v>806</v>
      </c>
      <c r="B123" s="47">
        <v>64.900000000000006</v>
      </c>
      <c r="C123" s="47">
        <f>IF(RIGHT(B123,1)="K",VALUE(LEFT(B123,LEN(B123)-1))*1000,VALUE(B123))</f>
        <v>64.900000000000006</v>
      </c>
      <c r="D123" s="47"/>
      <c r="E123" s="2" t="s">
        <v>174</v>
      </c>
      <c r="F123" s="47">
        <v>4000</v>
      </c>
    </row>
    <row r="124" spans="1:6">
      <c r="A124" s="47" t="s">
        <v>813</v>
      </c>
      <c r="B124" s="47">
        <v>68</v>
      </c>
      <c r="C124" s="47">
        <f>IF(RIGHT(B124,1)="K",VALUE(LEFT(B124,LEN(B124)-1))*1000,VALUE(B124))</f>
        <v>68</v>
      </c>
      <c r="D124" s="47"/>
      <c r="E124" s="2" t="s">
        <v>174</v>
      </c>
      <c r="F124" s="47">
        <v>5000</v>
      </c>
    </row>
    <row r="125" spans="1:6">
      <c r="A125" s="47" t="s">
        <v>247</v>
      </c>
      <c r="B125" s="36">
        <v>75</v>
      </c>
      <c r="C125" s="47">
        <f>IF(RIGHT(B125,1)="k", VALUE(LEFT(B125,LEN(B125)-1))*1000, VALUE(B125))</f>
        <v>75</v>
      </c>
      <c r="D125" s="47"/>
      <c r="E125" s="3" t="s">
        <v>248</v>
      </c>
      <c r="F125" s="3"/>
    </row>
    <row r="126" spans="1:6" ht="15.6">
      <c r="A126" s="56" t="s">
        <v>913</v>
      </c>
      <c r="B126" s="56" t="s">
        <v>914</v>
      </c>
      <c r="C126" s="47">
        <f>IF(RIGHT(B126,1)="K",VALUE(LEFT(B126,LEN(B126)-1))*1000,VALUE(B126))</f>
        <v>78700</v>
      </c>
      <c r="D126" s="47"/>
      <c r="E126" s="57" t="s">
        <v>174</v>
      </c>
      <c r="F126" s="57" t="s">
        <v>922</v>
      </c>
    </row>
    <row r="127" spans="1:6" ht="15.6">
      <c r="A127" s="56" t="s">
        <v>920</v>
      </c>
      <c r="B127" s="56" t="s">
        <v>921</v>
      </c>
      <c r="C127" s="47">
        <f>IF(RIGHT(B127,1)="K",VALUE(LEFT(B127,LEN(B127)-1))*1000,VALUE(B127))</f>
        <v>820000</v>
      </c>
      <c r="D127" s="47"/>
      <c r="E127" s="57" t="s">
        <v>174</v>
      </c>
      <c r="F127" s="57" t="s">
        <v>922</v>
      </c>
    </row>
    <row r="128" spans="1:6">
      <c r="A128" s="29" t="s">
        <v>368</v>
      </c>
      <c r="B128" s="29">
        <v>0</v>
      </c>
      <c r="C128" s="29">
        <f>IF(RIGHT(B128,1)="K",VALUE(LEFT(B128,LEN(B128)-1))*1000,VALUE(B128))</f>
        <v>0</v>
      </c>
      <c r="D128" s="29"/>
      <c r="E128" s="28" t="s">
        <v>174</v>
      </c>
      <c r="F128" s="28"/>
    </row>
    <row r="129" spans="1:6">
      <c r="A129" s="47" t="s">
        <v>815</v>
      </c>
      <c r="B129" s="47">
        <v>120</v>
      </c>
      <c r="C129" s="47">
        <f>IF(RIGHT(B129,1)="K",VALUE(LEFT(B129,LEN(B129)-1))*1000,VALUE(B129))</f>
        <v>120</v>
      </c>
      <c r="D129" s="47"/>
      <c r="E129" s="2" t="s">
        <v>174</v>
      </c>
      <c r="F129" s="47">
        <v>4000</v>
      </c>
    </row>
    <row r="130" spans="1:6">
      <c r="A130" s="47" t="s">
        <v>810</v>
      </c>
      <c r="B130" s="47">
        <v>15</v>
      </c>
      <c r="C130" s="47">
        <f>IF(RIGHT(B130,1)="K",VALUE(LEFT(B130,LEN(B130)-1))*1000,VALUE(B130))</f>
        <v>15</v>
      </c>
      <c r="D130" s="47"/>
      <c r="E130" s="2" t="s">
        <v>174</v>
      </c>
      <c r="F130" s="47">
        <v>4000</v>
      </c>
    </row>
    <row r="131" spans="1:6">
      <c r="A131" s="47" t="s">
        <v>788</v>
      </c>
      <c r="B131" s="47" t="s">
        <v>228</v>
      </c>
      <c r="C131" s="47">
        <f>IF(RIGHT(B131,1)="K",VALUE(LEFT(B131,LEN(B131)-1))*1000,VALUE(B131))</f>
        <v>20000</v>
      </c>
      <c r="D131" s="47"/>
      <c r="E131" s="2" t="s">
        <v>174</v>
      </c>
      <c r="F131" s="47">
        <v>5000</v>
      </c>
    </row>
    <row r="132" spans="1:6">
      <c r="A132" s="47" t="s">
        <v>801</v>
      </c>
      <c r="B132" s="47" t="s">
        <v>802</v>
      </c>
      <c r="C132" s="47">
        <f>IF(RIGHT(B132,1)="K",VALUE(LEFT(B132,LEN(B132)-1))*1000,VALUE(B132))</f>
        <v>22000</v>
      </c>
      <c r="D132" s="47"/>
      <c r="E132" s="2" t="s">
        <v>174</v>
      </c>
      <c r="F132" s="47">
        <v>3000</v>
      </c>
    </row>
    <row r="133" spans="1:6">
      <c r="A133" s="47" t="s">
        <v>829</v>
      </c>
      <c r="B133" s="47" t="s">
        <v>830</v>
      </c>
      <c r="C133" s="47">
        <f>IF(RIGHT(B133,1)="K",VALUE(LEFT(B133,LEN(B133)-1))*1000,VALUE(B133))</f>
        <v>2200</v>
      </c>
      <c r="D133" s="47"/>
      <c r="E133" s="2" t="s">
        <v>174</v>
      </c>
      <c r="F133" s="47">
        <v>5000</v>
      </c>
    </row>
    <row r="134" spans="1:6">
      <c r="A134" s="29" t="s">
        <v>757</v>
      </c>
      <c r="B134" s="29" t="s">
        <v>758</v>
      </c>
      <c r="C134" s="29">
        <f>IF(RIGHT(B134,1)="K",VALUE(LEFT(B134,LEN(B134)-1))*1000,VALUE(B134))</f>
        <v>2700</v>
      </c>
      <c r="D134" s="29"/>
      <c r="E134" s="28" t="s">
        <v>174</v>
      </c>
      <c r="F134" s="28">
        <v>5000</v>
      </c>
    </row>
    <row r="135" spans="1:6" s="39" customFormat="1" ht="15.6">
      <c r="A135" s="56" t="s">
        <v>904</v>
      </c>
      <c r="B135" s="56" t="s">
        <v>903</v>
      </c>
      <c r="C135" s="47">
        <f>IF(RIGHT(B135,1)="K",VALUE(LEFT(B135,LEN(B135)-1))*1000,VALUE(B135))</f>
        <v>33000</v>
      </c>
      <c r="D135" s="47"/>
      <c r="E135" s="57" t="s">
        <v>174</v>
      </c>
      <c r="F135" s="57" t="s">
        <v>922</v>
      </c>
    </row>
    <row r="136" spans="1:6" s="39" customFormat="1" ht="15.6">
      <c r="A136" s="56" t="s">
        <v>904</v>
      </c>
      <c r="B136" s="56" t="s">
        <v>903</v>
      </c>
      <c r="C136" s="47">
        <f>IF(RIGHT(B136,1)="K",VALUE(LEFT(B136,LEN(B136)-1))*1000,VALUE(B136))</f>
        <v>33000</v>
      </c>
      <c r="D136" s="47"/>
      <c r="E136" s="57" t="s">
        <v>174</v>
      </c>
      <c r="F136" s="57" t="s">
        <v>922</v>
      </c>
    </row>
    <row r="137" spans="1:6" s="39" customFormat="1">
      <c r="A137" s="47" t="s">
        <v>807</v>
      </c>
      <c r="B137" s="47">
        <v>33</v>
      </c>
      <c r="C137" s="47">
        <f>IF(RIGHT(B137,1)="K",VALUE(LEFT(B137,LEN(B137)-1))*1000,VALUE(B137))</f>
        <v>33</v>
      </c>
      <c r="D137" s="47"/>
      <c r="E137" s="2" t="s">
        <v>174</v>
      </c>
      <c r="F137" s="47">
        <v>5000</v>
      </c>
    </row>
    <row r="138" spans="1:6" s="39" customFormat="1">
      <c r="A138" s="47" t="s">
        <v>860</v>
      </c>
      <c r="B138" s="47" t="s">
        <v>280</v>
      </c>
      <c r="C138" s="47">
        <f>IF(RIGHT(B138,1)="K",VALUE(LEFT(B138,LEN(B138)-1))*1000,VALUE(B138))</f>
        <v>3600</v>
      </c>
      <c r="D138" s="47"/>
      <c r="E138" s="2" t="s">
        <v>174</v>
      </c>
      <c r="F138" s="47">
        <v>4000</v>
      </c>
    </row>
    <row r="139" spans="1:6" s="39" customFormat="1">
      <c r="A139" s="47" t="s">
        <v>809</v>
      </c>
      <c r="B139" s="47">
        <v>4.7</v>
      </c>
      <c r="C139" s="47">
        <f>IF(RIGHT(B139,1)="K",VALUE(LEFT(B139,LEN(B139)-1))*1000,VALUE(B139))</f>
        <v>4.7</v>
      </c>
      <c r="D139" s="47"/>
      <c r="E139" s="2" t="s">
        <v>174</v>
      </c>
      <c r="F139" s="47">
        <v>4000</v>
      </c>
    </row>
    <row r="140" spans="1:6" s="39" customFormat="1" ht="15.6">
      <c r="A140" s="56" t="s">
        <v>907</v>
      </c>
      <c r="B140" s="56" t="s">
        <v>908</v>
      </c>
      <c r="C140" s="47">
        <f>IF(RIGHT(B140,1)="K",VALUE(LEFT(B140,LEN(B140)-1))*1000,VALUE(B140))</f>
        <v>51000</v>
      </c>
      <c r="D140" s="47"/>
      <c r="E140" s="57" t="s">
        <v>174</v>
      </c>
      <c r="F140" s="57" t="s">
        <v>922</v>
      </c>
    </row>
    <row r="141" spans="1:6" s="39" customFormat="1" ht="15.6">
      <c r="A141" s="56" t="s">
        <v>907</v>
      </c>
      <c r="B141" s="56" t="s">
        <v>908</v>
      </c>
      <c r="C141" s="47">
        <f>IF(RIGHT(B141,1)="K",VALUE(LEFT(B141,LEN(B141)-1))*1000,VALUE(B141))</f>
        <v>51000</v>
      </c>
      <c r="D141" s="47"/>
      <c r="E141" s="57" t="s">
        <v>174</v>
      </c>
      <c r="F141" s="57" t="s">
        <v>922</v>
      </c>
    </row>
    <row r="142" spans="1:6" s="39" customFormat="1" ht="15.6">
      <c r="A142" s="56" t="s">
        <v>918</v>
      </c>
      <c r="B142" s="56" t="s">
        <v>919</v>
      </c>
      <c r="C142" s="47">
        <f>IF(RIGHT(B142,1)="K",VALUE(LEFT(B142,LEN(B142)-1))*1000,VALUE(B142))</f>
        <v>560000</v>
      </c>
      <c r="D142" s="47"/>
      <c r="E142" s="57" t="s">
        <v>174</v>
      </c>
      <c r="F142" s="57" t="s">
        <v>922</v>
      </c>
    </row>
    <row r="143" spans="1:6" s="39" customFormat="1" ht="15.6">
      <c r="A143" s="56" t="s">
        <v>909</v>
      </c>
      <c r="B143" s="56" t="s">
        <v>910</v>
      </c>
      <c r="C143" s="47">
        <f>IF(RIGHT(B143,1)="K",VALUE(LEFT(B143,LEN(B143)-1))*1000,VALUE(B143))</f>
        <v>62000</v>
      </c>
      <c r="D143" s="47"/>
      <c r="E143" s="57" t="s">
        <v>174</v>
      </c>
      <c r="F143" s="57" t="s">
        <v>922</v>
      </c>
    </row>
    <row r="144" spans="1:6" s="39" customFormat="1" ht="15.6">
      <c r="A144" s="56" t="s">
        <v>911</v>
      </c>
      <c r="B144" s="56" t="s">
        <v>912</v>
      </c>
      <c r="C144" s="47">
        <f>IF(RIGHT(B144,1)="K",VALUE(LEFT(B144,LEN(B144)-1))*1000,VALUE(B144))</f>
        <v>75000</v>
      </c>
      <c r="D144" s="47"/>
      <c r="E144" s="57" t="s">
        <v>174</v>
      </c>
      <c r="F144" s="57" t="s">
        <v>922</v>
      </c>
    </row>
    <row r="145" spans="1:6" s="39" customFormat="1" ht="15.6">
      <c r="A145" s="56" t="s">
        <v>911</v>
      </c>
      <c r="B145" s="56" t="s">
        <v>912</v>
      </c>
      <c r="C145" s="47">
        <f>IF(RIGHT(B145,1)="K",VALUE(LEFT(B145,LEN(B145)-1))*1000,VALUE(B145))</f>
        <v>75000</v>
      </c>
      <c r="D145" s="47"/>
      <c r="E145" s="57" t="s">
        <v>174</v>
      </c>
      <c r="F145" s="57" t="s">
        <v>922</v>
      </c>
    </row>
    <row r="146" spans="1:6" s="39" customFormat="1">
      <c r="A146" s="29" t="s">
        <v>369</v>
      </c>
      <c r="B146" s="29">
        <v>91</v>
      </c>
      <c r="C146" s="29">
        <f>IF(RIGHT(B146,1)="K",VALUE(LEFT(B146,LEN(B146)-1))*1000,VALUE(B146))</f>
        <v>91</v>
      </c>
      <c r="D146" s="29"/>
      <c r="E146" s="28" t="s">
        <v>174</v>
      </c>
      <c r="F146" s="28"/>
    </row>
    <row r="147" spans="1:6">
      <c r="A147" s="47" t="s">
        <v>767</v>
      </c>
      <c r="B147" s="47" t="s">
        <v>228</v>
      </c>
      <c r="C147" s="47">
        <f>IF(RIGHT(B147,1)="K",VALUE(LEFT(B147,LEN(B147)-1))*1000,VALUE(B147))</f>
        <v>20000</v>
      </c>
      <c r="D147" s="47"/>
      <c r="E147" s="2" t="s">
        <v>178</v>
      </c>
      <c r="F147" s="47">
        <v>5000</v>
      </c>
    </row>
    <row r="148" spans="1:6">
      <c r="A148" s="29" t="s">
        <v>749</v>
      </c>
      <c r="B148" s="29">
        <v>49</v>
      </c>
      <c r="C148" s="29">
        <f>IF(RIGHT(B148,1)="K",VALUE(LEFT(B148,LEN(B148)-1))*1000,VALUE(B148))</f>
        <v>49</v>
      </c>
      <c r="D148" s="29"/>
      <c r="E148" s="28" t="s">
        <v>178</v>
      </c>
      <c r="F148" s="28">
        <v>2000</v>
      </c>
    </row>
    <row r="149" spans="1:6">
      <c r="A149" s="47" t="s">
        <v>294</v>
      </c>
      <c r="B149" s="47">
        <v>15</v>
      </c>
      <c r="C149" s="47">
        <f>IF(RIGHT(B149,1)="K",VALUE(LEFT(B149,LEN(B149)-1))*1000,VALUE(B149))</f>
        <v>15</v>
      </c>
      <c r="D149" s="47"/>
      <c r="E149" s="2" t="s">
        <v>178</v>
      </c>
      <c r="F149" s="2"/>
    </row>
    <row r="150" spans="1:6">
      <c r="A150" s="29" t="s">
        <v>370</v>
      </c>
      <c r="B150" s="29">
        <v>165</v>
      </c>
      <c r="C150" s="29">
        <f>IF(RIGHT(B150,1)="K",VALUE(LEFT(B150,LEN(B150)-1))*1000,VALUE(B150))</f>
        <v>165</v>
      </c>
      <c r="D150" s="29"/>
      <c r="E150" s="29">
        <v>1206</v>
      </c>
      <c r="F150" s="29"/>
    </row>
    <row r="151" spans="1:6">
      <c r="A151" s="47" t="s">
        <v>268</v>
      </c>
      <c r="B151" s="47">
        <v>215</v>
      </c>
      <c r="C151" s="47">
        <f>IF(RIGHT(B151,1)="k", VALUE(LEFT(B151,LEN(B151)-1))*1000, VALUE(B151))</f>
        <v>215</v>
      </c>
      <c r="D151" s="47"/>
      <c r="E151" s="47">
        <v>1206</v>
      </c>
      <c r="F151" s="47"/>
    </row>
    <row r="152" spans="1:6">
      <c r="A152" s="47" t="s">
        <v>296</v>
      </c>
      <c r="B152" s="47">
        <v>220</v>
      </c>
      <c r="C152" s="47">
        <f>IF(RIGHT(B152,1)="K",VALUE(LEFT(B152,LEN(B152)-1))*1000,VALUE(B152))</f>
        <v>220</v>
      </c>
      <c r="D152" s="47"/>
      <c r="E152" s="2" t="s">
        <v>175</v>
      </c>
      <c r="F152" s="2"/>
    </row>
    <row r="153" spans="1:6">
      <c r="A153" s="29" t="s">
        <v>385</v>
      </c>
      <c r="B153" s="29">
        <v>470</v>
      </c>
      <c r="C153" s="29">
        <f>IF(RIGHT(B153,1)="K",VALUE(LEFT(B153,LEN(B153)-1))*1000,VALUE(B153))</f>
        <v>470</v>
      </c>
      <c r="D153" s="29"/>
      <c r="E153" s="29">
        <v>1206</v>
      </c>
      <c r="F153" s="29"/>
    </row>
    <row r="154" spans="1:6">
      <c r="A154" s="29" t="s">
        <v>392</v>
      </c>
      <c r="B154" s="29">
        <v>60.4</v>
      </c>
      <c r="C154" s="29">
        <f>IF(RIGHT(B154,1)="K",VALUE(LEFT(B154,LEN(B154)-1))*1000,VALUE(B154))</f>
        <v>60.4</v>
      </c>
      <c r="D154" s="29"/>
      <c r="E154" s="29">
        <v>1206</v>
      </c>
      <c r="F154" s="29"/>
    </row>
    <row r="155" spans="1:6">
      <c r="A155" s="47" t="s">
        <v>392</v>
      </c>
      <c r="B155" s="47">
        <v>60.4</v>
      </c>
      <c r="C155" s="47">
        <f>IF(RIGHT(B155,1)="K",VALUE(LEFT(B155,LEN(B155)-1))*1000,VALUE(B155))</f>
        <v>60.4</v>
      </c>
      <c r="D155" s="47"/>
      <c r="E155" s="47">
        <v>1206</v>
      </c>
      <c r="F155" s="47">
        <v>200</v>
      </c>
    </row>
    <row r="156" spans="1:6">
      <c r="A156" s="47" t="s">
        <v>776</v>
      </c>
      <c r="B156" s="47">
        <v>30</v>
      </c>
      <c r="C156" s="47">
        <f>IF(RIGHT(B156,1)="K",VALUE(LEFT(B156,LEN(B156)-1))*1000,VALUE(B156))</f>
        <v>30</v>
      </c>
      <c r="D156" s="47"/>
      <c r="E156" s="47">
        <v>1206</v>
      </c>
      <c r="F156" s="47">
        <v>5000</v>
      </c>
    </row>
    <row r="157" spans="1:6">
      <c r="A157" s="47" t="s">
        <v>291</v>
      </c>
      <c r="B157" s="47">
        <v>51</v>
      </c>
      <c r="C157" s="47">
        <f>IF(RIGHT(B157,1)="K",VALUE(LEFT(B157,LEN(B157)-1))*1000,VALUE(B157))</f>
        <v>51</v>
      </c>
      <c r="D157" s="47"/>
      <c r="E157" s="2" t="s">
        <v>174</v>
      </c>
      <c r="F157" s="2"/>
    </row>
    <row r="158" spans="1:6">
      <c r="A158" s="47" t="s">
        <v>346</v>
      </c>
      <c r="B158" s="47" t="s">
        <v>347</v>
      </c>
      <c r="C158" s="47">
        <f>IF(RIGHT(B158,1)="K",VALUE(LEFT(B158,LEN(B158)-1))*1000,VALUE(B158))</f>
        <v>95300</v>
      </c>
      <c r="D158" s="47"/>
      <c r="E158" s="2" t="s">
        <v>174</v>
      </c>
      <c r="F158" s="2"/>
    </row>
    <row r="159" spans="1:6">
      <c r="A159" s="47" t="s">
        <v>811</v>
      </c>
      <c r="B159" s="47">
        <v>0</v>
      </c>
      <c r="C159" s="47">
        <f>IF(RIGHT(B159,1)="K",VALUE(LEFT(B159,LEN(B159)-1))*1000,VALUE(B159))</f>
        <v>0</v>
      </c>
      <c r="D159" s="47"/>
      <c r="E159" s="2" t="s">
        <v>174</v>
      </c>
      <c r="F159" s="47">
        <v>3000</v>
      </c>
    </row>
    <row r="160" spans="1:6">
      <c r="A160" s="47" t="s">
        <v>770</v>
      </c>
      <c r="B160" s="47" t="s">
        <v>293</v>
      </c>
      <c r="C160" s="47">
        <f>IF(RIGHT(B160,1)="K",VALUE(LEFT(B160,LEN(B160)-1))*1000,VALUE(B160))</f>
        <v>10000</v>
      </c>
      <c r="D160" s="47"/>
      <c r="E160" s="2" t="s">
        <v>178</v>
      </c>
      <c r="F160" s="47">
        <v>1000</v>
      </c>
    </row>
    <row r="161" spans="1:6">
      <c r="A161" s="29" t="s">
        <v>755</v>
      </c>
      <c r="B161" s="29">
        <v>49.9</v>
      </c>
      <c r="C161" s="29">
        <f>IF(RIGHT(B161,1)="K",VALUE(LEFT(B161,E146LEN(B161)-1))*1000,VALUE(B161))</f>
        <v>49.9</v>
      </c>
      <c r="D161" s="29"/>
      <c r="E161" s="28" t="s">
        <v>178</v>
      </c>
      <c r="F161" s="28">
        <v>3000</v>
      </c>
    </row>
    <row r="162" spans="1:6">
      <c r="A162" s="47" t="s">
        <v>282</v>
      </c>
      <c r="B162" s="47">
        <v>150</v>
      </c>
      <c r="C162" s="47">
        <f>IF(RIGHT(B162,1)="K",VALUE(LEFT(B162,LEN(B162)-1))*1000,VALUE(B162))</f>
        <v>150</v>
      </c>
      <c r="D162" s="47"/>
      <c r="E162" s="2" t="s">
        <v>174</v>
      </c>
      <c r="F162" s="2"/>
    </row>
    <row r="163" spans="1:6">
      <c r="A163" s="47" t="s">
        <v>284</v>
      </c>
      <c r="B163" s="47" t="s">
        <v>285</v>
      </c>
      <c r="C163" s="47">
        <f>IF(RIGHT(B163,1)="K",VALUE(LEFT(B163,LEN(B163)-1))*1000,VALUE(B163))</f>
        <v>4990</v>
      </c>
      <c r="D163" s="47"/>
      <c r="E163" s="2" t="s">
        <v>174</v>
      </c>
      <c r="F163" s="2"/>
    </row>
    <row r="164" spans="1:6">
      <c r="A164" s="47" t="s">
        <v>278</v>
      </c>
      <c r="B164" s="47">
        <v>3.16</v>
      </c>
      <c r="C164" s="47">
        <f>IF(RIGHT(B164,1)="K",VALUE(LEFT(B164,LEN(B164)-1))*1000,VALUE(B164))</f>
        <v>3.16</v>
      </c>
      <c r="D164" s="47"/>
      <c r="E164" s="47"/>
      <c r="F164" s="47"/>
    </row>
    <row r="165" spans="1:6">
      <c r="A165" s="47" t="s">
        <v>266</v>
      </c>
      <c r="B165" s="47">
        <v>4.12</v>
      </c>
      <c r="C165" s="47">
        <f>IF(RIGHT(B165,1)="k", VALUE(LEFT(B165,LEN(B165)-1))*1000, VALUE(B165))</f>
        <v>4.12</v>
      </c>
      <c r="D165" s="47"/>
      <c r="E165" s="3" t="s">
        <v>265</v>
      </c>
      <c r="F165" s="3"/>
    </row>
    <row r="166" spans="1:6">
      <c r="A166" s="47" t="s">
        <v>267</v>
      </c>
      <c r="B166" s="47">
        <v>4.99</v>
      </c>
      <c r="C166" s="47">
        <f>IF(RIGHT(B166,1)="k", VALUE(LEFT(B166,LEN(B166)-1))*1000, VALUE(B166))</f>
        <v>4.99</v>
      </c>
      <c r="D166" s="47"/>
      <c r="E166" s="3" t="s">
        <v>265</v>
      </c>
      <c r="F166" s="3"/>
    </row>
    <row r="167" spans="1:6">
      <c r="A167" s="47" t="s">
        <v>773</v>
      </c>
      <c r="B167" s="47">
        <v>113</v>
      </c>
      <c r="C167" s="47">
        <f>IF(RIGHT(B167,1)="K",VALUE(LEFT(B167,LEN(B167)-1))*1000,VALUE(B167))</f>
        <v>113</v>
      </c>
      <c r="D167" s="47"/>
      <c r="E167" s="2" t="s">
        <v>175</v>
      </c>
      <c r="F167" s="47">
        <v>500</v>
      </c>
    </row>
    <row r="168" spans="1:6">
      <c r="A168" s="47" t="s">
        <v>274</v>
      </c>
      <c r="B168" s="47">
        <v>0</v>
      </c>
      <c r="C168" s="47">
        <f>IF(RIGHT(B168,1)="k", VALUE(LEFT(B168,LEN(B168)-1))*1000, VALUE(B168))</f>
        <v>0</v>
      </c>
      <c r="D168" s="47"/>
      <c r="E168" s="2" t="s">
        <v>275</v>
      </c>
      <c r="F168" s="2"/>
    </row>
    <row r="169" spans="1:6">
      <c r="A169" s="47" t="s">
        <v>276</v>
      </c>
      <c r="B169" s="35" t="s">
        <v>277</v>
      </c>
      <c r="C169" s="47">
        <f>IF(RIGHT(B169,1)="K",VALUE(LEFT(B169,LEN(B169)-1))*1000,VALUE(B169))</f>
        <v>82000</v>
      </c>
      <c r="D169" s="47"/>
      <c r="E169" s="2" t="s">
        <v>174</v>
      </c>
      <c r="F169" s="2"/>
    </row>
    <row r="170" spans="1:6">
      <c r="A170" s="41" t="s">
        <v>700</v>
      </c>
      <c r="B170" s="42" t="s">
        <v>701</v>
      </c>
      <c r="C170" s="43">
        <f>IF(RIGHT(B170,1)="K",VALUE(LEFT(B170,LEN(B170)-1))*1000,VALUE(B170))</f>
        <v>1000</v>
      </c>
      <c r="D170" s="43"/>
      <c r="E170" s="41" t="s">
        <v>690</v>
      </c>
      <c r="F170" s="42">
        <v>3000</v>
      </c>
    </row>
    <row r="171" spans="1:6">
      <c r="A171" s="47" t="s">
        <v>237</v>
      </c>
      <c r="B171" s="47" t="s">
        <v>238</v>
      </c>
      <c r="C171" s="47">
        <f>IF(RIGHT(B171,1)="k", VALUE(LEFT(B171,LEN(B171)-1))*1000, VALUE(B171))</f>
        <v>7150</v>
      </c>
      <c r="D171" s="47"/>
      <c r="E171" s="2" t="s">
        <v>174</v>
      </c>
      <c r="F171" s="2"/>
    </row>
    <row r="172" spans="1:6">
      <c r="A172" s="47" t="s">
        <v>252</v>
      </c>
      <c r="B172" s="47">
        <v>402</v>
      </c>
      <c r="C172" s="47">
        <f>IF(RIGHT(B172,1)="k", VALUE(LEFT(B172,LEN(B172)-1))*1000, VALUE(B172))</f>
        <v>402</v>
      </c>
      <c r="D172" s="47"/>
      <c r="E172" s="3" t="s">
        <v>248</v>
      </c>
      <c r="F172" s="3"/>
    </row>
    <row r="173" spans="1:6">
      <c r="A173" s="47" t="s">
        <v>216</v>
      </c>
      <c r="B173" s="47" t="s">
        <v>217</v>
      </c>
      <c r="C173" s="47">
        <f>IF(RIGHT(B173,1)="k", VALUE(LEFT(B173,LEN(B173)-1))*1000, VALUE(B173))</f>
        <v>120000</v>
      </c>
      <c r="D173" s="47"/>
      <c r="E173" s="2" t="s">
        <v>174</v>
      </c>
      <c r="F173" s="2"/>
    </row>
    <row r="174" spans="1:6">
      <c r="A174" s="41" t="s">
        <v>703</v>
      </c>
      <c r="B174" s="42" t="s">
        <v>701</v>
      </c>
      <c r="C174" s="43">
        <f>IF(RIGHT(B174,1)="K",VALUE(LEFT(B174,LEN(B174)-1))*1000,VALUE(B174))</f>
        <v>1000</v>
      </c>
      <c r="D174" s="43"/>
      <c r="E174" s="41" t="s">
        <v>690</v>
      </c>
      <c r="F174" s="42">
        <v>1000</v>
      </c>
    </row>
    <row r="175" spans="1:6">
      <c r="A175" s="47" t="s">
        <v>235</v>
      </c>
      <c r="B175" s="47" t="s">
        <v>236</v>
      </c>
      <c r="C175" s="47">
        <f>IF(RIGHT(B175,1)="k", VALUE(LEFT(B175,LEN(B175)-1))*1000, VALUE(B175))</f>
        <v>28000</v>
      </c>
      <c r="D175" s="47"/>
      <c r="E175" s="2" t="s">
        <v>174</v>
      </c>
      <c r="F175" s="2"/>
    </row>
    <row r="176" spans="1:6">
      <c r="A176" s="47" t="s">
        <v>839</v>
      </c>
      <c r="B176" s="47">
        <v>402</v>
      </c>
      <c r="C176" s="47">
        <f>IF(RIGHT(B176,1)="K",VALUE(LEFT(B176,LEN(B176)-1))*1000,VALUE(B176))</f>
        <v>402</v>
      </c>
      <c r="D176" s="47"/>
      <c r="E176" s="2" t="s">
        <v>174</v>
      </c>
      <c r="F176" s="47">
        <v>3000</v>
      </c>
    </row>
    <row r="177" spans="1:6">
      <c r="A177" s="47" t="s">
        <v>839</v>
      </c>
      <c r="B177" s="47">
        <v>402</v>
      </c>
      <c r="C177" s="47">
        <f>IF(RIGHT(B177,1)="K",VALUE(LEFT(B177,LEN(B177)-1))*1000,VALUE(B177))</f>
        <v>402</v>
      </c>
      <c r="D177" s="47"/>
      <c r="E177" s="2" t="s">
        <v>174</v>
      </c>
      <c r="F177" s="47">
        <v>3000</v>
      </c>
    </row>
    <row r="178" spans="1:6">
      <c r="A178" s="47" t="s">
        <v>213</v>
      </c>
      <c r="B178" s="47">
        <v>40.200000000000003</v>
      </c>
      <c r="C178" s="47">
        <f>IF(RIGHT(B178,1)="k", VALUE(LEFT(B178,LEN(B178)-1))*1000, VALUE(B178))</f>
        <v>40.200000000000003</v>
      </c>
      <c r="D178" s="47"/>
      <c r="E178" s="2" t="s">
        <v>174</v>
      </c>
      <c r="F178" s="2"/>
    </row>
    <row r="179" spans="1:6">
      <c r="A179" s="41" t="s">
        <v>699</v>
      </c>
      <c r="B179" s="42">
        <v>50</v>
      </c>
      <c r="C179" s="43">
        <f>IF(RIGHT(B179,1)="K",VALUE(LEFT(B179,LEN(B179)-1))*1000,VALUE(B179))</f>
        <v>50</v>
      </c>
      <c r="D179" s="43"/>
      <c r="E179" s="41" t="s">
        <v>690</v>
      </c>
      <c r="F179" s="42">
        <v>1000</v>
      </c>
    </row>
    <row r="180" spans="1:6">
      <c r="A180" s="29" t="s">
        <v>383</v>
      </c>
      <c r="B180" s="29" t="s">
        <v>384</v>
      </c>
      <c r="C180" s="29">
        <f>IF(RIGHT(B180,1)="K",VALUE(LEFT(B180,LEN(B180)-1))*1000,VALUE(B180))</f>
        <v>62000</v>
      </c>
      <c r="D180" s="29"/>
      <c r="E180" s="28" t="s">
        <v>174</v>
      </c>
      <c r="F180" s="28"/>
    </row>
    <row r="181" spans="1:6">
      <c r="A181" s="47" t="s">
        <v>791</v>
      </c>
      <c r="B181" s="47" t="s">
        <v>293</v>
      </c>
      <c r="C181" s="47">
        <f>IF(RIGHT(B181,1)="K",VALUE(LEFT(B181,LEN(B181)-1))*1000,VALUE(B181))</f>
        <v>10000</v>
      </c>
      <c r="D181" s="47"/>
      <c r="E181" s="2" t="s">
        <v>174</v>
      </c>
      <c r="F181" s="47">
        <v>2000</v>
      </c>
    </row>
    <row r="182" spans="1:6">
      <c r="A182" s="47" t="s">
        <v>243</v>
      </c>
      <c r="B182" s="47" t="s">
        <v>211</v>
      </c>
      <c r="C182" s="47">
        <f>IF(RIGHT(B182,1)="k", VALUE(LEFT(B182,LEN(B182)-1))*1000, VALUE(B182))</f>
        <v>30000</v>
      </c>
      <c r="D182" s="47"/>
      <c r="E182" s="2" t="s">
        <v>174</v>
      </c>
      <c r="F182" s="2"/>
    </row>
    <row r="183" spans="1:6">
      <c r="A183" s="29" t="s">
        <v>746</v>
      </c>
      <c r="B183" s="29">
        <v>100</v>
      </c>
      <c r="C183" s="29">
        <f>IF(RIGHT(B183,1)="K",VALUE(LEFT(B183,LEN(B183)-1))*1000,VALUE(B183))</f>
        <v>100</v>
      </c>
      <c r="D183" s="29"/>
      <c r="E183" s="28" t="s">
        <v>178</v>
      </c>
      <c r="F183" s="28">
        <v>5000</v>
      </c>
    </row>
    <row r="184" spans="1:6">
      <c r="A184" s="47" t="s">
        <v>768</v>
      </c>
      <c r="B184" s="47" t="s">
        <v>293</v>
      </c>
      <c r="C184" s="47">
        <f>IF(RIGHT(B184,1)="K",VALUE(LEFT(B184,LEN(B184)-1))*1000,VALUE(B184))</f>
        <v>10000</v>
      </c>
      <c r="D184" s="47"/>
      <c r="E184" s="2" t="s">
        <v>178</v>
      </c>
      <c r="F184" s="47">
        <v>1000</v>
      </c>
    </row>
    <row r="185" spans="1:6">
      <c r="A185" s="29" t="s">
        <v>748</v>
      </c>
      <c r="B185" s="29">
        <v>51</v>
      </c>
      <c r="C185" s="29">
        <f>IF(RIGHT(B185,1)="K",VALUE(LEFT(B185,E146LEN(B185)-1))*1000,VALUE(B185))</f>
        <v>51</v>
      </c>
      <c r="D185" s="29"/>
      <c r="E185" s="28" t="s">
        <v>178</v>
      </c>
      <c r="F185" s="28">
        <v>2000</v>
      </c>
    </row>
    <row r="186" spans="1:6">
      <c r="A186" s="29" t="s">
        <v>750</v>
      </c>
      <c r="B186" s="29">
        <v>0</v>
      </c>
      <c r="C186" s="29">
        <f>IF(RIGHT(B186,1)="K",VALUE(LEFT(B186,LEN(B186)-1))*1000,VALUE(B186))</f>
        <v>0</v>
      </c>
      <c r="D186" s="29"/>
      <c r="E186" s="28" t="s">
        <v>178</v>
      </c>
      <c r="F186" s="28">
        <v>5000</v>
      </c>
    </row>
    <row r="187" spans="1:6">
      <c r="A187" s="47" t="s">
        <v>769</v>
      </c>
      <c r="B187" s="47" t="s">
        <v>293</v>
      </c>
      <c r="C187" s="47">
        <f>IF(RIGHT(B187,1)="K",VALUE(LEFT(B187,LEN(B187)-1))*1000,VALUE(B187))</f>
        <v>10000</v>
      </c>
      <c r="D187" s="47"/>
      <c r="E187" s="2" t="s">
        <v>178</v>
      </c>
      <c r="F187" s="47">
        <v>1000</v>
      </c>
    </row>
    <row r="188" spans="1:6">
      <c r="A188" s="29" t="s">
        <v>751</v>
      </c>
      <c r="B188" s="29" t="s">
        <v>744</v>
      </c>
      <c r="C188" s="29">
        <f>IF(RIGHT(B188,1)="K",VALUE(LEFT(B188,LEN(B188)-1))*1000,VALUE(B188))</f>
        <v>1000</v>
      </c>
      <c r="D188" s="29"/>
      <c r="E188" s="28" t="s">
        <v>178</v>
      </c>
      <c r="F188" s="28">
        <v>4000</v>
      </c>
    </row>
    <row r="189" spans="1:6">
      <c r="A189" s="29" t="s">
        <v>747</v>
      </c>
      <c r="B189" s="29">
        <v>51</v>
      </c>
      <c r="C189" s="29">
        <f>IF(RIGHT(B189,1)="K",VALUE(LEFT(B189,E146LEN(B189)-1))*1000,VALUE(B189))</f>
        <v>51</v>
      </c>
      <c r="D189" s="29"/>
      <c r="E189" s="28" t="s">
        <v>178</v>
      </c>
      <c r="F189" s="28">
        <v>1000</v>
      </c>
    </row>
    <row r="190" spans="1:6">
      <c r="A190" s="47" t="s">
        <v>789</v>
      </c>
      <c r="B190" s="47" t="s">
        <v>293</v>
      </c>
      <c r="C190" s="47">
        <f>IF(RIGHT(B190,1)="K",VALUE(LEFT(B190,LEN(B190)-1))*1000,VALUE(B190))</f>
        <v>10000</v>
      </c>
      <c r="D190" s="47"/>
      <c r="E190" s="2" t="s">
        <v>174</v>
      </c>
      <c r="F190" s="47">
        <v>1000</v>
      </c>
    </row>
    <row r="191" spans="1:6" ht="15.6">
      <c r="A191" s="56" t="s">
        <v>915</v>
      </c>
      <c r="B191" s="56" t="s">
        <v>916</v>
      </c>
      <c r="C191" s="47">
        <f>IF(RIGHT(B191,1)="K",VALUE(LEFT(B191,LEN(B191)-1))*1000,VALUE(B191))</f>
        <v>100000</v>
      </c>
      <c r="D191" s="47"/>
      <c r="E191" s="57" t="s">
        <v>174</v>
      </c>
      <c r="F191" s="57" t="s">
        <v>922</v>
      </c>
    </row>
    <row r="192" spans="1:6">
      <c r="A192" s="47" t="s">
        <v>792</v>
      </c>
      <c r="B192" s="47" t="s">
        <v>293</v>
      </c>
      <c r="C192" s="47">
        <f>IF(RIGHT(B192,1)="K",VALUE(LEFT(B192,LEN(B192)-1))*1000,VALUE(B192))</f>
        <v>10000</v>
      </c>
      <c r="D192" s="47"/>
      <c r="E192" s="2" t="s">
        <v>174</v>
      </c>
      <c r="F192" s="47">
        <v>1000</v>
      </c>
    </row>
    <row r="193" spans="1:6">
      <c r="A193" s="47" t="s">
        <v>790</v>
      </c>
      <c r="B193" s="47" t="s">
        <v>293</v>
      </c>
      <c r="C193" s="47">
        <f>IF(RIGHT(B193,1)="K",VALUE(LEFT(B193,LEN(B193)-1))*1000,VALUE(B193))</f>
        <v>10000</v>
      </c>
      <c r="D193" s="47"/>
      <c r="E193" s="47">
        <v>1610</v>
      </c>
      <c r="F193" s="47">
        <v>1000</v>
      </c>
    </row>
    <row r="194" spans="1:6">
      <c r="A194" s="47" t="s">
        <v>798</v>
      </c>
      <c r="B194" s="47" t="s">
        <v>228</v>
      </c>
      <c r="C194" s="47">
        <f>IF(RIGHT(B194,1)="K",VALUE(LEFT(B194,LEN(B194)-1))*1000,VALUE(B194))</f>
        <v>20000</v>
      </c>
      <c r="D194" s="47"/>
      <c r="E194" s="2" t="s">
        <v>174</v>
      </c>
      <c r="F194" s="47">
        <v>3000</v>
      </c>
    </row>
    <row r="195" spans="1:6">
      <c r="A195" s="47" t="s">
        <v>855</v>
      </c>
      <c r="B195" s="47" t="s">
        <v>856</v>
      </c>
      <c r="C195" s="47">
        <f>IF(RIGHT(B195,1)="K",VALUE(LEFT(B195,LEN(B195)-1))*1000,VALUE(B195))</f>
        <v>6800</v>
      </c>
      <c r="D195" s="47"/>
      <c r="E195" s="2" t="s">
        <v>174</v>
      </c>
      <c r="F195" s="47">
        <v>4000</v>
      </c>
    </row>
    <row r="196" spans="1:6">
      <c r="A196" s="47" t="s">
        <v>771</v>
      </c>
      <c r="B196" s="47" t="s">
        <v>772</v>
      </c>
      <c r="C196" s="47">
        <f>IF(RIGHT(B196,1)="K",VALUE(LEFT(B196,LEN(B196)-1))*1000,VALUE(B196))</f>
        <v>470000</v>
      </c>
      <c r="D196" s="47"/>
      <c r="E196" s="2" t="s">
        <v>175</v>
      </c>
      <c r="F196" s="47">
        <v>4000</v>
      </c>
    </row>
    <row r="197" spans="1:6">
      <c r="A197" s="47" t="s">
        <v>283</v>
      </c>
      <c r="B197" s="47">
        <v>113</v>
      </c>
      <c r="C197" s="47">
        <f>IF(RIGHT(B197,1)="K",VALUE(LEFT(B197,LEN(B197)-1))*1000,VALUE(B197))</f>
        <v>113</v>
      </c>
      <c r="D197" s="47"/>
      <c r="E197" s="2" t="s">
        <v>175</v>
      </c>
      <c r="F197" s="2"/>
    </row>
    <row r="198" spans="1:6">
      <c r="A198" s="47" t="s">
        <v>253</v>
      </c>
      <c r="B198" s="47">
        <v>249</v>
      </c>
      <c r="C198" s="47">
        <f>IF(RIGHT(B198,1)="k", VALUE(LEFT(B198,LEN(B198)-1))*1000, VALUE(B198))</f>
        <v>249</v>
      </c>
      <c r="D198" s="47"/>
      <c r="E198" s="47">
        <v>1206</v>
      </c>
      <c r="F198" s="47"/>
    </row>
    <row r="199" spans="1:6">
      <c r="A199" s="47" t="s">
        <v>273</v>
      </c>
      <c r="B199" s="47">
        <v>82</v>
      </c>
      <c r="C199" s="47">
        <f>IF(RIGHT(B199,1)="k", VALUE(LEFT(B199,LEN(B199)-1))*1000, VALUE(B199))</f>
        <v>82</v>
      </c>
      <c r="D199" s="47"/>
      <c r="E199" s="47">
        <v>1206</v>
      </c>
      <c r="F199" s="47"/>
    </row>
    <row r="200" spans="1:6">
      <c r="A200" s="47" t="s">
        <v>297</v>
      </c>
      <c r="B200" s="47" t="s">
        <v>298</v>
      </c>
      <c r="C200" s="47">
        <f>IF(RIGHT(B200,1)="K",VALUE(LEFT(B200,LEN(B200)-1))*1000,VALUE(B200))</f>
        <v>1300</v>
      </c>
      <c r="D200" s="47"/>
      <c r="E200" s="2" t="s">
        <v>175</v>
      </c>
      <c r="F200" s="2"/>
    </row>
    <row r="201" spans="1:6">
      <c r="A201" s="29" t="s">
        <v>756</v>
      </c>
      <c r="B201" s="29">
        <v>4.7</v>
      </c>
      <c r="C201" s="29">
        <f>IF(RIGHT(B201,1)="K",VALUE(LEFT(B201,E146LEN(B201)-1))*1000,VALUE(B201))</f>
        <v>4.7</v>
      </c>
      <c r="D201" s="29"/>
      <c r="E201" s="28" t="s">
        <v>178</v>
      </c>
      <c r="F201" s="28">
        <v>5000</v>
      </c>
    </row>
    <row r="202" spans="1:6" ht="15.6">
      <c r="A202" s="56" t="s">
        <v>895</v>
      </c>
      <c r="B202" s="56">
        <v>110</v>
      </c>
      <c r="C202" s="47">
        <f>IF(RIGHT(B202,1)="K",VALUE(LEFT(B202,LEN(B202)-1))*1000,VALUE(B202))</f>
        <v>110</v>
      </c>
      <c r="D202" s="47"/>
      <c r="E202" s="57" t="s">
        <v>173</v>
      </c>
      <c r="F202" s="57" t="s">
        <v>926</v>
      </c>
    </row>
    <row r="203" spans="1:6" ht="15.6">
      <c r="A203" s="56" t="s">
        <v>896</v>
      </c>
      <c r="B203" s="56">
        <v>255</v>
      </c>
      <c r="C203" s="47">
        <f>IF(RIGHT(B203,1)="K",VALUE(LEFT(B203,LEN(B203)-1))*1000,VALUE(B203))</f>
        <v>255</v>
      </c>
      <c r="D203" s="47"/>
      <c r="E203" s="57" t="s">
        <v>173</v>
      </c>
      <c r="F203" s="57" t="s">
        <v>927</v>
      </c>
    </row>
    <row r="204" spans="1:6">
      <c r="A204" s="29" t="s">
        <v>376</v>
      </c>
      <c r="B204" s="29">
        <v>287</v>
      </c>
      <c r="C204" s="29">
        <f>IF(RIGHT(B204,1)="K",VALUE(LEFT(B204,LEN(B204)-1))*1000,VALUE(B204))</f>
        <v>287</v>
      </c>
      <c r="D204" s="29"/>
      <c r="E204" s="28" t="s">
        <v>173</v>
      </c>
      <c r="F204" s="28"/>
    </row>
    <row r="205" spans="1:6">
      <c r="A205" s="47" t="s">
        <v>796</v>
      </c>
      <c r="B205" s="47" t="s">
        <v>228</v>
      </c>
      <c r="C205" s="47">
        <f>IF(RIGHT(B205,1)="K",VALUE(LEFT(B205,LEN(B205)-1))*1000,VALUE(B205))</f>
        <v>20000</v>
      </c>
      <c r="D205" s="47"/>
      <c r="E205" s="2" t="s">
        <v>174</v>
      </c>
      <c r="F205" s="47">
        <v>200</v>
      </c>
    </row>
    <row r="206" spans="1:6">
      <c r="A206" s="47" t="s">
        <v>799</v>
      </c>
      <c r="B206" s="47" t="s">
        <v>800</v>
      </c>
      <c r="C206" s="47">
        <f>IF(RIGHT(B206,1)="K",VALUE(LEFT(B206,LEN(B206)-1))*1000,VALUE(B206))</f>
        <v>20500</v>
      </c>
      <c r="D206" s="47"/>
      <c r="E206" s="2" t="s">
        <v>174</v>
      </c>
      <c r="F206" s="47">
        <v>3000</v>
      </c>
    </row>
    <row r="207" spans="1:6">
      <c r="A207" s="29" t="s">
        <v>743</v>
      </c>
      <c r="B207" s="29" t="s">
        <v>744</v>
      </c>
      <c r="C207" s="29">
        <f>IF(RIGHT(B207,1)="K",VALUE(LEFT(B207,LEN(B207)-1))*1000,VALUE(B207))</f>
        <v>1000</v>
      </c>
      <c r="D207" s="29"/>
      <c r="E207" s="28" t="s">
        <v>178</v>
      </c>
      <c r="F207" s="28">
        <v>5000</v>
      </c>
    </row>
    <row r="208" spans="1:6">
      <c r="A208" s="47" t="s">
        <v>765</v>
      </c>
      <c r="B208" s="47" t="s">
        <v>766</v>
      </c>
      <c r="C208" s="47">
        <f>IF(RIGHT(B208,1)="K",VALUE(LEFT(B208,LEN(B208)-1))*1000,VALUE(B208))</f>
        <v>300000</v>
      </c>
      <c r="D208" s="47"/>
      <c r="E208" s="2" t="s">
        <v>178</v>
      </c>
      <c r="F208" s="47">
        <v>5000</v>
      </c>
    </row>
    <row r="209" spans="1:6">
      <c r="A209" s="29" t="s">
        <v>745</v>
      </c>
      <c r="B209" s="29">
        <v>680</v>
      </c>
      <c r="C209" s="29">
        <f>IF(RIGHT(B209,1)="K",VALUE(LEFT(B209,LEN(B209)-1))*1000,VALUE(B209))</f>
        <v>680</v>
      </c>
      <c r="D209" s="29"/>
      <c r="E209" s="28" t="s">
        <v>178</v>
      </c>
      <c r="F209" s="28">
        <v>5000</v>
      </c>
    </row>
    <row r="210" spans="1:6">
      <c r="A210" s="47" t="s">
        <v>816</v>
      </c>
      <c r="B210" s="47">
        <v>150</v>
      </c>
      <c r="C210" s="47">
        <f>IF(RIGHT(B210,1)="K",VALUE(LEFT(B210,LEN(B210)-1))*1000,VALUE(B210))</f>
        <v>150</v>
      </c>
      <c r="D210" s="47"/>
      <c r="E210" s="2" t="s">
        <v>174</v>
      </c>
      <c r="F210" s="47">
        <v>3000</v>
      </c>
    </row>
  </sheetData>
  <sortState ref="G3:K79">
    <sortCondition ref="I3:I79"/>
  </sortState>
  <mergeCells count="1">
    <mergeCell ref="A1:E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64F4F-36F0-49B5-966B-F0F91C8DEF37}">
  <dimension ref="A1:F101"/>
  <sheetViews>
    <sheetView topLeftCell="A79" workbookViewId="0">
      <selection activeCell="K23" sqref="K23"/>
    </sheetView>
  </sheetViews>
  <sheetFormatPr defaultRowHeight="13.8"/>
  <cols>
    <col min="1" max="1" width="24.59765625" style="18" customWidth="1"/>
    <col min="2" max="2" width="12.69921875" style="18" customWidth="1"/>
    <col min="3" max="3" width="17.8984375" style="18" customWidth="1"/>
    <col min="4" max="4" width="18.8984375" style="18" customWidth="1"/>
    <col min="5" max="5" width="30.09765625" style="18" customWidth="1"/>
    <col min="6" max="6" width="9.3984375" customWidth="1"/>
  </cols>
  <sheetData>
    <row r="1" spans="1:6" ht="15.6">
      <c r="A1" s="24" t="s">
        <v>169</v>
      </c>
      <c r="B1" s="24" t="s">
        <v>176</v>
      </c>
      <c r="C1" s="24" t="s">
        <v>188</v>
      </c>
      <c r="D1" s="24" t="s">
        <v>172</v>
      </c>
      <c r="E1" s="24" t="s">
        <v>171</v>
      </c>
      <c r="F1" s="24" t="s">
        <v>541</v>
      </c>
    </row>
    <row r="2" spans="1:6" s="47" customFormat="1">
      <c r="A2" s="19" t="s">
        <v>309</v>
      </c>
      <c r="B2" s="20" t="s">
        <v>503</v>
      </c>
      <c r="C2" s="20">
        <f t="shared" ref="C2:C25" si="0">IF(ISNUMBER(SEARCH("pF",B2)), VALUE(LEFT(B2,SEARCH("pF",B2)-1)),
 IF(ISNUMBER(SEARCH("nF",B2)), VALUE(LEFT(B2,SEARCH("nF",B2)-1))*1000,
 IF(ISNUMBER(SEARCH("uF",B2)), VALUE(LEFT(B2,SEARCH("uF",B2)-1))*1000000,"")))</f>
        <v>100000</v>
      </c>
      <c r="D2" s="20"/>
      <c r="E2" s="23" t="s">
        <v>173</v>
      </c>
    </row>
    <row r="3" spans="1:6" s="47" customFormat="1">
      <c r="A3" s="18" t="s">
        <v>847</v>
      </c>
      <c r="B3" s="18" t="s">
        <v>848</v>
      </c>
      <c r="C3" s="18">
        <f t="shared" si="0"/>
        <v>1000</v>
      </c>
      <c r="D3" s="18"/>
      <c r="E3" s="21" t="s">
        <v>174</v>
      </c>
      <c r="F3" s="55">
        <v>5000</v>
      </c>
    </row>
    <row r="4" spans="1:6" s="47" customFormat="1">
      <c r="A4" s="41" t="s">
        <v>691</v>
      </c>
      <c r="B4" s="42" t="s">
        <v>697</v>
      </c>
      <c r="C4" s="45">
        <f t="shared" si="0"/>
        <v>1000</v>
      </c>
      <c r="D4" s="45"/>
      <c r="E4" s="41" t="s">
        <v>690</v>
      </c>
      <c r="F4" s="42">
        <v>800</v>
      </c>
    </row>
    <row r="5" spans="1:6" s="47" customFormat="1">
      <c r="A5" s="18" t="s">
        <v>826</v>
      </c>
      <c r="B5" s="18" t="s">
        <v>825</v>
      </c>
      <c r="C5" s="18">
        <f t="shared" si="0"/>
        <v>39</v>
      </c>
      <c r="D5" s="18"/>
      <c r="E5" s="21" t="s">
        <v>174</v>
      </c>
      <c r="F5" s="55">
        <v>100</v>
      </c>
    </row>
    <row r="6" spans="1:6" s="47" customFormat="1">
      <c r="A6" s="19" t="s">
        <v>408</v>
      </c>
      <c r="B6" s="19" t="s">
        <v>504</v>
      </c>
      <c r="C6" s="20">
        <f t="shared" si="0"/>
        <v>47</v>
      </c>
      <c r="D6" s="19"/>
      <c r="E6" s="22">
        <v>603</v>
      </c>
    </row>
    <row r="7" spans="1:6" s="47" customFormat="1">
      <c r="A7" s="18" t="s">
        <v>409</v>
      </c>
      <c r="B7" s="20" t="s">
        <v>505</v>
      </c>
      <c r="C7" s="20">
        <f t="shared" si="0"/>
        <v>68</v>
      </c>
      <c r="D7" s="23"/>
      <c r="E7" s="23">
        <v>603</v>
      </c>
    </row>
    <row r="8" spans="1:6" s="47" customFormat="1">
      <c r="A8" s="19" t="s">
        <v>320</v>
      </c>
      <c r="B8" s="19" t="s">
        <v>506</v>
      </c>
      <c r="C8" s="20">
        <f t="shared" si="0"/>
        <v>10</v>
      </c>
      <c r="D8" s="19"/>
      <c r="E8" s="22">
        <v>805</v>
      </c>
    </row>
    <row r="9" spans="1:6" s="47" customFormat="1">
      <c r="A9" s="18" t="s">
        <v>820</v>
      </c>
      <c r="B9" s="18" t="s">
        <v>321</v>
      </c>
      <c r="C9" s="18">
        <f t="shared" si="0"/>
        <v>10</v>
      </c>
      <c r="D9" s="18"/>
      <c r="E9" s="21" t="s">
        <v>174</v>
      </c>
      <c r="F9" s="55">
        <v>5000</v>
      </c>
    </row>
    <row r="10" spans="1:6" s="47" customFormat="1">
      <c r="A10" s="19" t="s">
        <v>507</v>
      </c>
      <c r="B10" s="21" t="s">
        <v>508</v>
      </c>
      <c r="C10" s="20">
        <f t="shared" si="0"/>
        <v>0.2</v>
      </c>
      <c r="D10" s="21"/>
      <c r="E10" s="21" t="s">
        <v>174</v>
      </c>
    </row>
    <row r="11" spans="1:6" s="47" customFormat="1">
      <c r="A11" s="19" t="s">
        <v>412</v>
      </c>
      <c r="B11" s="19" t="s">
        <v>509</v>
      </c>
      <c r="C11" s="20">
        <f t="shared" si="0"/>
        <v>0.3</v>
      </c>
      <c r="D11" s="19"/>
      <c r="E11" s="21" t="s">
        <v>174</v>
      </c>
    </row>
    <row r="12" spans="1:6" s="47" customFormat="1">
      <c r="A12" s="19" t="s">
        <v>413</v>
      </c>
      <c r="B12" s="19" t="s">
        <v>510</v>
      </c>
      <c r="C12" s="20">
        <f t="shared" si="0"/>
        <v>0.9</v>
      </c>
      <c r="D12" s="19"/>
      <c r="E12" s="21" t="s">
        <v>174</v>
      </c>
    </row>
    <row r="13" spans="1:6" s="47" customFormat="1">
      <c r="A13" s="18" t="s">
        <v>842</v>
      </c>
      <c r="B13" s="18" t="s">
        <v>307</v>
      </c>
      <c r="C13" s="18">
        <f t="shared" si="0"/>
        <v>100</v>
      </c>
      <c r="D13" s="18"/>
      <c r="E13" s="21" t="s">
        <v>174</v>
      </c>
      <c r="F13" s="55">
        <v>200</v>
      </c>
    </row>
    <row r="14" spans="1:6" s="47" customFormat="1">
      <c r="A14" s="19" t="s">
        <v>399</v>
      </c>
      <c r="B14" s="20" t="s">
        <v>511</v>
      </c>
      <c r="C14" s="20">
        <f t="shared" si="0"/>
        <v>4.7</v>
      </c>
      <c r="D14" s="20"/>
      <c r="E14" s="23">
        <v>603</v>
      </c>
    </row>
    <row r="15" spans="1:6" s="47" customFormat="1">
      <c r="A15" s="19" t="s">
        <v>310</v>
      </c>
      <c r="B15" s="19" t="s">
        <v>511</v>
      </c>
      <c r="C15" s="20">
        <f t="shared" si="0"/>
        <v>4.7</v>
      </c>
      <c r="D15" s="19"/>
      <c r="E15" s="22">
        <v>603</v>
      </c>
    </row>
    <row r="16" spans="1:6" s="47" customFormat="1">
      <c r="A16" s="19" t="s">
        <v>414</v>
      </c>
      <c r="B16" s="19" t="s">
        <v>512</v>
      </c>
      <c r="C16" s="20">
        <f t="shared" si="0"/>
        <v>5.6</v>
      </c>
      <c r="D16" s="19"/>
      <c r="E16" s="21">
        <v>603</v>
      </c>
    </row>
    <row r="17" spans="1:6" s="47" customFormat="1">
      <c r="A17" s="19" t="s">
        <v>404</v>
      </c>
      <c r="B17" s="19" t="s">
        <v>513</v>
      </c>
      <c r="C17" s="20">
        <f t="shared" si="0"/>
        <v>6.8</v>
      </c>
      <c r="D17" s="19"/>
      <c r="E17" s="21">
        <v>603</v>
      </c>
    </row>
    <row r="18" spans="1:6" s="47" customFormat="1">
      <c r="A18" s="18" t="s">
        <v>786</v>
      </c>
      <c r="B18" s="18" t="s">
        <v>787</v>
      </c>
      <c r="C18" s="18">
        <f t="shared" si="0"/>
        <v>100000</v>
      </c>
      <c r="D18" s="18"/>
      <c r="E18" s="21" t="s">
        <v>178</v>
      </c>
      <c r="F18" s="55">
        <v>4000</v>
      </c>
    </row>
    <row r="19" spans="1:6" s="47" customFormat="1">
      <c r="A19" s="18" t="s">
        <v>777</v>
      </c>
      <c r="B19" s="18" t="s">
        <v>778</v>
      </c>
      <c r="C19" s="18">
        <f t="shared" si="0"/>
        <v>2200000</v>
      </c>
      <c r="D19" s="18"/>
      <c r="E19" s="21" t="s">
        <v>178</v>
      </c>
      <c r="F19" s="55">
        <v>1000</v>
      </c>
    </row>
    <row r="20" spans="1:6" s="47" customFormat="1">
      <c r="A20" s="58" t="s">
        <v>931</v>
      </c>
      <c r="B20" s="58" t="s">
        <v>945</v>
      </c>
      <c r="C20" s="18">
        <f t="shared" si="0"/>
        <v>10</v>
      </c>
      <c r="D20" s="18"/>
      <c r="E20" s="58" t="s">
        <v>952</v>
      </c>
      <c r="F20" s="58" t="s">
        <v>956</v>
      </c>
    </row>
    <row r="21" spans="1:6" s="47" customFormat="1">
      <c r="A21" s="58" t="s">
        <v>931</v>
      </c>
      <c r="B21" s="58" t="s">
        <v>945</v>
      </c>
      <c r="C21" s="18">
        <f t="shared" si="0"/>
        <v>10</v>
      </c>
      <c r="D21" s="18"/>
      <c r="E21" s="58" t="s">
        <v>952</v>
      </c>
      <c r="F21" s="58" t="s">
        <v>957</v>
      </c>
    </row>
    <row r="22" spans="1:6" s="47" customFormat="1">
      <c r="A22" s="58" t="s">
        <v>928</v>
      </c>
      <c r="B22" s="58" t="s">
        <v>943</v>
      </c>
      <c r="C22" s="18">
        <f t="shared" si="0"/>
        <v>2</v>
      </c>
      <c r="D22" s="18"/>
      <c r="E22" s="58" t="s">
        <v>952</v>
      </c>
      <c r="F22" s="58" t="s">
        <v>953</v>
      </c>
    </row>
    <row r="23" spans="1:6" s="47" customFormat="1">
      <c r="A23" s="58" t="s">
        <v>928</v>
      </c>
      <c r="B23" s="58" t="s">
        <v>943</v>
      </c>
      <c r="C23" s="18">
        <f t="shared" si="0"/>
        <v>2</v>
      </c>
      <c r="D23" s="18"/>
      <c r="E23" s="58" t="s">
        <v>952</v>
      </c>
      <c r="F23" s="58" t="s">
        <v>954</v>
      </c>
    </row>
    <row r="24" spans="1:6" s="47" customFormat="1">
      <c r="A24" s="18" t="s">
        <v>782</v>
      </c>
      <c r="B24" s="18" t="s">
        <v>783</v>
      </c>
      <c r="C24" s="18">
        <f t="shared" si="0"/>
        <v>27</v>
      </c>
      <c r="D24" s="18"/>
      <c r="E24" s="21" t="s">
        <v>178</v>
      </c>
      <c r="F24" s="55">
        <v>4000</v>
      </c>
    </row>
    <row r="25" spans="1:6" s="47" customFormat="1">
      <c r="A25" s="41" t="s">
        <v>694</v>
      </c>
      <c r="B25" s="42" t="s">
        <v>696</v>
      </c>
      <c r="C25" s="45">
        <f t="shared" si="0"/>
        <v>100000</v>
      </c>
      <c r="D25" s="45"/>
      <c r="E25" s="41" t="s">
        <v>690</v>
      </c>
      <c r="F25" s="42">
        <v>300</v>
      </c>
    </row>
    <row r="26" spans="1:6" s="47" customFormat="1">
      <c r="A26" s="19" t="s">
        <v>304</v>
      </c>
      <c r="B26" s="20" t="s">
        <v>514</v>
      </c>
      <c r="C26" s="20">
        <f>IF(ISNUMBER(SEARCH("pF",B26)), VALUE(LEFT(B26,SEARCH("pF",B26)-1)),
 IF(ISNUMBER(SEARCH("nF",B26)), VALUE(LEFT(B26,SEARCH("nF",B26)-1))*1000,
 IF(ISNUMBER(SEARCH("µF",B26)), VALUE(LEFT(B26,SEARCH("µF",B26)-1))*1000000,"")))</f>
        <v>3</v>
      </c>
      <c r="D26" s="20"/>
      <c r="E26" s="23">
        <v>402</v>
      </c>
    </row>
    <row r="27" spans="1:6" s="47" customFormat="1">
      <c r="A27" s="19" t="s">
        <v>300</v>
      </c>
      <c r="B27" s="19" t="s">
        <v>14</v>
      </c>
      <c r="C27" s="20">
        <f>IF(ISNUMBER(SEARCH("pF",B27)), VALUE(LEFT(B27,SEARCH("pF",B27)-1)),
 IF(ISNUMBER(SEARCH("nF",B27)), VALUE(LEFT(B27,SEARCH("nF",B27)-1))*1000,
 IF(ISNUMBER(SEARCH("µF",B27)), VALUE(LEFT(B27,SEARCH("µF",B27)-1))*1000000,"")))</f>
        <v>100</v>
      </c>
      <c r="D27" s="19"/>
      <c r="E27" s="21" t="s">
        <v>173</v>
      </c>
    </row>
    <row r="28" spans="1:6" s="47" customFormat="1">
      <c r="A28" s="18" t="s">
        <v>818</v>
      </c>
      <c r="B28" s="18" t="s">
        <v>321</v>
      </c>
      <c r="C28" s="18">
        <f>IF(ISNUMBER(SEARCH("pF",B28)), VALUE(LEFT(B28,SEARCH("pF",B28)-1)),
 IF(ISNUMBER(SEARCH("nF",B28)), VALUE(LEFT(B28,SEARCH("nF",B28)-1))*1000,
 IF(ISNUMBER(SEARCH("uF",B28)), VALUE(LEFT(B28,SEARCH("uF",B28)-1))*1000000,"")))</f>
        <v>10</v>
      </c>
      <c r="D28" s="18"/>
      <c r="E28" s="21" t="s">
        <v>174</v>
      </c>
      <c r="F28" s="55">
        <v>5000</v>
      </c>
    </row>
    <row r="29" spans="1:6" s="47" customFormat="1">
      <c r="A29" s="45" t="s">
        <v>708</v>
      </c>
      <c r="B29" s="45" t="s">
        <v>709</v>
      </c>
      <c r="C29" s="45">
        <f>IF(ISNUMBER(SEARCH("pF",B29)), VALUE(LEFT(B29,SEARCH("pF",B29)-1)),
 IF(ISNUMBER(SEARCH("nF",B29)), VALUE(LEFT(B29,SEARCH("nF",B29)-1))*1000,
 IF(ISNUMBER(SEARCH("uF",B29)), VALUE(LEFT(B29,SEARCH("uF",B29)-1))*1000000,"")))</f>
        <v>10000</v>
      </c>
      <c r="D29" s="45"/>
      <c r="E29" s="46" t="s">
        <v>174</v>
      </c>
      <c r="F29" s="42">
        <v>200</v>
      </c>
    </row>
    <row r="30" spans="1:6" s="47" customFormat="1">
      <c r="A30" s="19" t="s">
        <v>406</v>
      </c>
      <c r="B30" s="19" t="s">
        <v>515</v>
      </c>
      <c r="C30" s="20">
        <f>IF(ISNUMBER(SEARCH("pF",B30)), VALUE(LEFT(B30,SEARCH("pF",B30)-1)),
 IF(ISNUMBER(SEARCH("nF",B30)), VALUE(LEFT(B30,SEARCH("nF",B30)-1))*1000,
 IF(ISNUMBER(SEARCH("µF",B30)), VALUE(LEFT(B30,SEARCH("µF",B30)-1))*1000000,"")))</f>
        <v>56</v>
      </c>
      <c r="D30" s="19"/>
      <c r="E30" s="18">
        <v>603</v>
      </c>
    </row>
    <row r="31" spans="1:6" s="47" customFormat="1">
      <c r="A31" s="19" t="s">
        <v>407</v>
      </c>
      <c r="B31" s="19" t="s">
        <v>512</v>
      </c>
      <c r="C31" s="20">
        <f>IF(ISNUMBER(SEARCH("pF",B31)), VALUE(LEFT(B31,SEARCH("pF",B31)-1)),
 IF(ISNUMBER(SEARCH("nF",B31)), VALUE(LEFT(B31,SEARCH("nF",B31)-1))*1000,
 IF(ISNUMBER(SEARCH("µF",B31)), VALUE(LEFT(B31,SEARCH("µF",B31)-1))*1000000,"")))</f>
        <v>5.6</v>
      </c>
      <c r="D31" s="19"/>
      <c r="E31" s="22">
        <v>603</v>
      </c>
    </row>
    <row r="32" spans="1:6" s="47" customFormat="1">
      <c r="A32" s="18" t="s">
        <v>784</v>
      </c>
      <c r="B32" s="18" t="s">
        <v>785</v>
      </c>
      <c r="C32" s="18">
        <f>IF(ISNUMBER(SEARCH("pF",B32)), VALUE(LEFT(B32,SEARCH("pF",B32)-1)),
 IF(ISNUMBER(SEARCH("nF",B32)), VALUE(LEFT(B32,SEARCH("nF",B32)-1))*1000,
 IF(ISNUMBER(SEARCH("uF",B32)), VALUE(LEFT(B32,SEARCH("uF",B32)-1))*1000000,"")))</f>
        <v>10000</v>
      </c>
      <c r="D32" s="18"/>
      <c r="E32" s="21" t="s">
        <v>178</v>
      </c>
      <c r="F32" s="55">
        <v>5000</v>
      </c>
    </row>
    <row r="33" spans="1:6" s="47" customFormat="1">
      <c r="A33" s="19" t="s">
        <v>332</v>
      </c>
      <c r="B33" s="20" t="s">
        <v>516</v>
      </c>
      <c r="C33" s="20">
        <f>IF(ISNUMBER(SEARCH("pF",B33)), VALUE(LEFT(B33,SEARCH("pF",B33)-1)),
 IF(ISNUMBER(SEARCH("nF",B33)), VALUE(LEFT(B33,SEARCH("nF",B33)-1))*1000,
 IF(ISNUMBER(SEARCH("µF",B33)), VALUE(LEFT(B33,SEARCH("µF",B33)-1))*1000000,"")))</f>
        <v>1000000</v>
      </c>
      <c r="D33" s="20"/>
      <c r="E33" s="23" t="s">
        <v>178</v>
      </c>
    </row>
    <row r="34" spans="1:6" s="47" customFormat="1">
      <c r="A34" s="19" t="s">
        <v>323</v>
      </c>
      <c r="B34" s="19" t="s">
        <v>517</v>
      </c>
      <c r="C34" s="20">
        <f>IF(ISNUMBER(SEARCH("pF",B34)), VALUE(LEFT(B34,SEARCH("pF",B34)-1)),
 IF(ISNUMBER(SEARCH("nF",B34)), VALUE(LEFT(B34,SEARCH("nF",B34)-1))*1000,
 IF(ISNUMBER(SEARCH("µF",B34)), VALUE(LEFT(B34,SEARCH("µF",B34)-1))*1000000,"")))</f>
        <v>820</v>
      </c>
      <c r="D34" s="19"/>
      <c r="E34" s="21" t="s">
        <v>178</v>
      </c>
    </row>
    <row r="35" spans="1:6" s="47" customFormat="1">
      <c r="A35" s="58" t="s">
        <v>942</v>
      </c>
      <c r="B35" s="58" t="s">
        <v>951</v>
      </c>
      <c r="C35" s="18">
        <f t="shared" ref="C35:C41" si="1">IF(ISNUMBER(SEARCH("pF",B35)), VALUE(LEFT(B35,SEARCH("pF",B35)-1)),
 IF(ISNUMBER(SEARCH("nF",B35)), VALUE(LEFT(B35,SEARCH("nF",B35)-1))*1000,
 IF(ISNUMBER(SEARCH("uF",B35)), VALUE(LEFT(B35,SEARCH("uF",B35)-1))*1000000,"")))</f>
        <v>4700000</v>
      </c>
      <c r="D35" s="18"/>
      <c r="E35" s="58" t="s">
        <v>952</v>
      </c>
      <c r="F35" s="58" t="s">
        <v>957</v>
      </c>
    </row>
    <row r="36" spans="1:6" s="47" customFormat="1">
      <c r="A36" s="58" t="s">
        <v>938</v>
      </c>
      <c r="B36" s="58" t="s">
        <v>948</v>
      </c>
      <c r="C36" s="18">
        <f t="shared" si="1"/>
        <v>10000</v>
      </c>
      <c r="D36" s="18"/>
      <c r="E36" s="58" t="s">
        <v>952</v>
      </c>
      <c r="F36" s="58" t="s">
        <v>955</v>
      </c>
    </row>
    <row r="37" spans="1:6" s="47" customFormat="1">
      <c r="A37" s="45" t="s">
        <v>704</v>
      </c>
      <c r="B37" s="45" t="s">
        <v>696</v>
      </c>
      <c r="C37" s="45">
        <f t="shared" si="1"/>
        <v>100000</v>
      </c>
      <c r="D37" s="45"/>
      <c r="E37" s="46" t="s">
        <v>173</v>
      </c>
      <c r="F37" s="42">
        <v>100</v>
      </c>
    </row>
    <row r="38" spans="1:6" s="47" customFormat="1">
      <c r="A38" s="18" t="s">
        <v>817</v>
      </c>
      <c r="B38" s="18" t="s">
        <v>321</v>
      </c>
      <c r="C38" s="18">
        <f t="shared" si="1"/>
        <v>10</v>
      </c>
      <c r="D38" s="18"/>
      <c r="E38" s="21" t="s">
        <v>174</v>
      </c>
      <c r="F38" s="55">
        <v>5000</v>
      </c>
    </row>
    <row r="39" spans="1:6" s="47" customFormat="1">
      <c r="A39" s="18" t="s">
        <v>821</v>
      </c>
      <c r="B39" s="18" t="s">
        <v>822</v>
      </c>
      <c r="C39" s="18">
        <f t="shared" si="1"/>
        <v>15</v>
      </c>
      <c r="D39" s="18"/>
      <c r="E39" s="21" t="s">
        <v>174</v>
      </c>
      <c r="F39" s="55">
        <v>1000</v>
      </c>
    </row>
    <row r="40" spans="1:6" s="47" customFormat="1">
      <c r="A40" s="18" t="s">
        <v>821</v>
      </c>
      <c r="B40" s="18" t="s">
        <v>822</v>
      </c>
      <c r="C40" s="18">
        <f t="shared" si="1"/>
        <v>15</v>
      </c>
      <c r="D40" s="18"/>
      <c r="E40" s="21" t="s">
        <v>174</v>
      </c>
      <c r="F40" s="55">
        <v>300</v>
      </c>
    </row>
    <row r="41" spans="1:6" s="47" customFormat="1">
      <c r="A41" s="18" t="s">
        <v>823</v>
      </c>
      <c r="B41" s="18" t="s">
        <v>179</v>
      </c>
      <c r="C41" s="18">
        <f t="shared" si="1"/>
        <v>22</v>
      </c>
      <c r="D41" s="18"/>
      <c r="E41" s="21" t="s">
        <v>174</v>
      </c>
      <c r="F41" s="55">
        <v>3000</v>
      </c>
    </row>
    <row r="42" spans="1:6" s="47" customFormat="1">
      <c r="A42" s="19" t="s">
        <v>518</v>
      </c>
      <c r="B42" s="19" t="s">
        <v>519</v>
      </c>
      <c r="C42" s="20">
        <f>IF(ISNUMBER(SEARCH("pF",B42)), VALUE(LEFT(B42,SEARCH("pF",B42)-1)),
 IF(ISNUMBER(SEARCH("nF",B42)), VALUE(LEFT(B42,SEARCH("nF",B42)-1))*1000,
 IF(ISNUMBER(SEARCH("µF",B42)), VALUE(LEFT(B42,SEARCH("µF",B42)-1))*1000000,"")))</f>
        <v>10000000</v>
      </c>
      <c r="D42" s="19"/>
      <c r="E42" s="21" t="s">
        <v>174</v>
      </c>
    </row>
    <row r="43" spans="1:6" s="47" customFormat="1">
      <c r="A43" s="41" t="s">
        <v>689</v>
      </c>
      <c r="B43" s="42" t="s">
        <v>696</v>
      </c>
      <c r="C43" s="45">
        <f>IF(ISNUMBER(SEARCH("pF",B43)), VALUE(LEFT(B43,SEARCH("pF",B43)-1)),
 IF(ISNUMBER(SEARCH("nF",B43)), VALUE(LEFT(B43,SEARCH("nF",B43)-1))*1000,
 IF(ISNUMBER(SEARCH("uF",B43)), VALUE(LEFT(B43,SEARCH("uF",B43)-1))*1000000,"")))</f>
        <v>100000</v>
      </c>
      <c r="D43" s="45"/>
      <c r="E43" s="41" t="s">
        <v>690</v>
      </c>
      <c r="F43" s="42">
        <v>200</v>
      </c>
    </row>
    <row r="44" spans="1:6" s="47" customFormat="1">
      <c r="A44" s="19" t="s">
        <v>322</v>
      </c>
      <c r="B44" s="19" t="s">
        <v>520</v>
      </c>
      <c r="C44" s="20">
        <f>IF(ISNUMBER(SEARCH("pF",B44)), VALUE(LEFT(B44,SEARCH("pF",B44)-1)),
 IF(ISNUMBER(SEARCH("nF",B44)), VALUE(LEFT(B44,SEARCH("nF",B44)-1))*1000,
 IF(ISNUMBER(SEARCH("µF",B44)), VALUE(LEFT(B44,SEARCH("µF",B44)-1))*1000000,"")))</f>
        <v>15000000</v>
      </c>
      <c r="D44" s="19"/>
      <c r="E44" s="21" t="s">
        <v>178</v>
      </c>
    </row>
    <row r="45" spans="1:6" s="47" customFormat="1">
      <c r="A45" s="19" t="s">
        <v>311</v>
      </c>
      <c r="B45" s="19" t="s">
        <v>521</v>
      </c>
      <c r="C45" s="20">
        <f>IF(ISNUMBER(SEARCH("pF",B45)), VALUE(LEFT(B45,SEARCH("pF",B45)-1)),
 IF(ISNUMBER(SEARCH("nF",B45)), VALUE(LEFT(B45,SEARCH("nF",B45)-1))*1000,
 IF(ISNUMBER(SEARCH("µF",B45)), VALUE(LEFT(B45,SEARCH("µF",B45)-1))*1000000,"")))</f>
        <v>33000000</v>
      </c>
      <c r="D45" s="19"/>
      <c r="E45" s="22">
        <v>1206</v>
      </c>
    </row>
    <row r="46" spans="1:6" s="47" customFormat="1">
      <c r="A46" s="19" t="s">
        <v>315</v>
      </c>
      <c r="B46" s="19" t="s">
        <v>522</v>
      </c>
      <c r="C46" s="20">
        <f>IF(ISNUMBER(SEARCH("pF",B46)), VALUE(LEFT(B46,SEARCH("pF",B46)-1)),
 IF(ISNUMBER(SEARCH("nF",B46)), VALUE(LEFT(B46,SEARCH("nF",B46)-1))*1000,
 IF(ISNUMBER(SEARCH("µF",B46)), VALUE(LEFT(B46,SEARCH("µF",B46)-1))*1000000,"")))</f>
        <v>47000000</v>
      </c>
      <c r="D46" s="19"/>
      <c r="E46" s="21">
        <v>1206</v>
      </c>
    </row>
    <row r="47" spans="1:6" s="47" customFormat="1">
      <c r="A47" s="58" t="s">
        <v>930</v>
      </c>
      <c r="B47" s="58" t="s">
        <v>945</v>
      </c>
      <c r="C47" s="18">
        <f>IF(ISNUMBER(SEARCH("pF",B47)), VALUE(LEFT(B47,SEARCH("pF",B47)-1)),
 IF(ISNUMBER(SEARCH("nF",B47)), VALUE(LEFT(B47,SEARCH("nF",B47)-1))*1000,
 IF(ISNUMBER(SEARCH("uF",B47)), VALUE(LEFT(B47,SEARCH("uF",B47)-1))*1000000,"")))</f>
        <v>10</v>
      </c>
      <c r="D47" s="18"/>
      <c r="E47" s="58" t="s">
        <v>952</v>
      </c>
      <c r="F47" s="58" t="s">
        <v>955</v>
      </c>
    </row>
    <row r="48" spans="1:6" s="47" customFormat="1">
      <c r="A48" s="58" t="s">
        <v>932</v>
      </c>
      <c r="B48" s="58" t="s">
        <v>946</v>
      </c>
      <c r="C48" s="18">
        <f>IF(ISNUMBER(SEARCH("pF",B48)), VALUE(LEFT(B48,SEARCH("pF",B48)-1)),
 IF(ISNUMBER(SEARCH("nF",B48)), VALUE(LEFT(B48,SEARCH("nF",B48)-1))*1000,
 IF(ISNUMBER(SEARCH("uF",B48)), VALUE(LEFT(B48,SEARCH("uF",B48)-1))*1000000,"")))</f>
        <v>18</v>
      </c>
      <c r="D48" s="18"/>
      <c r="E48" s="58" t="s">
        <v>952</v>
      </c>
      <c r="F48" s="58" t="s">
        <v>957</v>
      </c>
    </row>
    <row r="49" spans="1:6" s="47" customFormat="1">
      <c r="A49" s="58" t="s">
        <v>935</v>
      </c>
      <c r="B49" s="58" t="s">
        <v>301</v>
      </c>
      <c r="C49" s="18">
        <f>IF(ISNUMBER(SEARCH("pF",B49)), VALUE(LEFT(B49,SEARCH("pF",B49)-1)),
 IF(ISNUMBER(SEARCH("nF",B49)), VALUE(LEFT(B49,SEARCH("nF",B49)-1))*1000,
 IF(ISNUMBER(SEARCH("uF",B49)), VALUE(LEFT(B49,SEARCH("uF",B49)-1))*1000000,"")))</f>
        <v>100</v>
      </c>
      <c r="D49" s="18"/>
      <c r="E49" s="58" t="s">
        <v>952</v>
      </c>
      <c r="F49" s="58" t="s">
        <v>954</v>
      </c>
    </row>
    <row r="50" spans="1:6" s="47" customFormat="1">
      <c r="A50" s="58" t="s">
        <v>936</v>
      </c>
      <c r="B50" s="58" t="s">
        <v>947</v>
      </c>
      <c r="C50" s="18">
        <f>IF(ISNUMBER(SEARCH("pF",B50)), VALUE(LEFT(B50,SEARCH("pF",B50)-1)),
 IF(ISNUMBER(SEARCH("nF",B50)), VALUE(LEFT(B50,SEARCH("nF",B50)-1))*1000,
 IF(ISNUMBER(SEARCH("uF",B50)), VALUE(LEFT(B50,SEARCH("uF",B50)-1))*1000000,"")))</f>
        <v>1000</v>
      </c>
      <c r="D50" s="18"/>
      <c r="E50" s="58" t="s">
        <v>952</v>
      </c>
      <c r="F50" s="58" t="s">
        <v>955</v>
      </c>
    </row>
    <row r="51" spans="1:6" s="47" customFormat="1">
      <c r="A51" s="58" t="s">
        <v>939</v>
      </c>
      <c r="B51" s="58" t="s">
        <v>948</v>
      </c>
      <c r="C51" s="18">
        <f>IF(ISNUMBER(SEARCH("pF",B51)), VALUE(LEFT(B51,SEARCH("pF",B51)-1)),
 IF(ISNUMBER(SEARCH("nF",B51)), VALUE(LEFT(B51,SEARCH("nF",B51)-1))*1000,
 IF(ISNUMBER(SEARCH("uF",B51)), VALUE(LEFT(B51,SEARCH("uF",B51)-1))*1000000,"")))</f>
        <v>10000</v>
      </c>
      <c r="D51" s="18"/>
      <c r="E51" s="58" t="s">
        <v>952</v>
      </c>
      <c r="F51" s="58" t="s">
        <v>954</v>
      </c>
    </row>
    <row r="52" spans="1:6" s="47" customFormat="1">
      <c r="A52" s="19" t="s">
        <v>403</v>
      </c>
      <c r="B52" s="19" t="s">
        <v>505</v>
      </c>
      <c r="C52" s="20">
        <f>IF(ISNUMBER(SEARCH("pF",B52)), VALUE(LEFT(B52,SEARCH("pF",B52)-1)),
 IF(ISNUMBER(SEARCH("nF",B52)), VALUE(LEFT(B52,SEARCH("nF",B52)-1))*1000,
 IF(ISNUMBER(SEARCH("µF",B52)), VALUE(LEFT(B52,SEARCH("µF",B52)-1))*1000000,"")))</f>
        <v>68</v>
      </c>
      <c r="D52" s="19"/>
      <c r="E52" s="21">
        <v>603</v>
      </c>
    </row>
    <row r="53" spans="1:6" s="47" customFormat="1">
      <c r="A53" s="19" t="s">
        <v>410</v>
      </c>
      <c r="B53" s="19" t="s">
        <v>523</v>
      </c>
      <c r="C53" s="20">
        <f>IF(ISNUMBER(SEARCH("pF",B53)), VALUE(LEFT(B53,SEARCH("pF",B53)-1)),
 IF(ISNUMBER(SEARCH("nF",B53)), VALUE(LEFT(B53,SEARCH("nF",B53)-1))*1000,
 IF(ISNUMBER(SEARCH("µF",B53)), VALUE(LEFT(B53,SEARCH("µF",B53)-1))*1000000,"")))</f>
        <v>500</v>
      </c>
      <c r="D53" s="19"/>
      <c r="E53" s="21" t="s">
        <v>174</v>
      </c>
    </row>
    <row r="54" spans="1:6" s="47" customFormat="1">
      <c r="A54" s="45" t="s">
        <v>710</v>
      </c>
      <c r="B54" s="45" t="s">
        <v>711</v>
      </c>
      <c r="C54" s="45">
        <f>IF(ISNUMBER(SEARCH("pF",B54)), VALUE(LEFT(B54,SEARCH("pF",B54)-1)),
 IF(ISNUMBER(SEARCH("nF",B54)), VALUE(LEFT(B54,SEARCH("nF",B54)-1))*1000,
 IF(ISNUMBER(SEARCH("uF",B54)), VALUE(LEFT(B54,SEARCH("uF",B54)-1))*1000000,"")))</f>
        <v>1000000</v>
      </c>
      <c r="D54" s="45"/>
      <c r="E54" s="46" t="s">
        <v>174</v>
      </c>
      <c r="F54" s="42">
        <v>225</v>
      </c>
    </row>
    <row r="55" spans="1:6" s="47" customFormat="1">
      <c r="A55" s="18" t="s">
        <v>710</v>
      </c>
      <c r="B55" s="18" t="s">
        <v>711</v>
      </c>
      <c r="C55" s="18">
        <f>IF(ISNUMBER(SEARCH("pF",B55)), VALUE(LEFT(B55,SEARCH("pF",B55)-1)),
 IF(ISNUMBER(SEARCH("nF",B55)), VALUE(LEFT(B55,SEARCH("nF",B55)-1))*1000,
 IF(ISNUMBER(SEARCH("uF",B55)), VALUE(LEFT(B55,SEARCH("uF",B55)-1))*1000000,"")))</f>
        <v>1000000</v>
      </c>
      <c r="D55" s="18"/>
      <c r="E55" s="21" t="s">
        <v>174</v>
      </c>
      <c r="F55" s="55">
        <v>300</v>
      </c>
    </row>
    <row r="56" spans="1:6" s="47" customFormat="1">
      <c r="A56" s="19" t="s">
        <v>524</v>
      </c>
      <c r="B56" s="20" t="s">
        <v>525</v>
      </c>
      <c r="C56" s="20">
        <f>IF(ISNUMBER(SEARCH("pF",B56)), VALUE(LEFT(B56,SEARCH("pF",B56)-1)),
 IF(ISNUMBER(SEARCH("nF",B56)), VALUE(LEFT(B56,SEARCH("nF",B56)-1))*1000,
 IF(ISNUMBER(SEARCH("µF",B56)), VALUE(LEFT(B56,SEARCH("µF",B56)-1))*1000000,"")))</f>
        <v>22000000</v>
      </c>
      <c r="D56" s="20"/>
      <c r="E56" s="23">
        <v>1206</v>
      </c>
    </row>
    <row r="57" spans="1:6" s="47" customFormat="1">
      <c r="A57" s="58" t="s">
        <v>937</v>
      </c>
      <c r="B57" s="58" t="s">
        <v>948</v>
      </c>
      <c r="C57" s="18">
        <f>IF(ISNUMBER(SEARCH("pF",B57)), VALUE(LEFT(B57,SEARCH("pF",B57)-1)),
 IF(ISNUMBER(SEARCH("nF",B57)), VALUE(LEFT(B57,SEARCH("nF",B57)-1))*1000,
 IF(ISNUMBER(SEARCH("uF",B57)), VALUE(LEFT(B57,SEARCH("uF",B57)-1))*1000000,"")))</f>
        <v>10000</v>
      </c>
      <c r="D57" s="18"/>
      <c r="E57" s="58" t="s">
        <v>952</v>
      </c>
      <c r="F57" s="58" t="s">
        <v>957</v>
      </c>
    </row>
    <row r="58" spans="1:6" s="47" customFormat="1">
      <c r="A58" s="58" t="s">
        <v>941</v>
      </c>
      <c r="B58" s="58" t="s">
        <v>950</v>
      </c>
      <c r="C58" s="18">
        <f>IF(ISNUMBER(SEARCH("pF",B58)), VALUE(LEFT(B58,SEARCH("pF",B58)-1)),
 IF(ISNUMBER(SEARCH("nF",B58)), VALUE(LEFT(B58,SEARCH("nF",B58)-1))*1000,
 IF(ISNUMBER(SEARCH("uF",B58)), VALUE(LEFT(B58,SEARCH("uF",B58)-1))*1000000,"")))</f>
        <v>1000000</v>
      </c>
      <c r="D58" s="18"/>
      <c r="E58" s="58" t="s">
        <v>952</v>
      </c>
      <c r="F58" s="58" t="s">
        <v>957</v>
      </c>
    </row>
    <row r="59" spans="1:6" s="47" customFormat="1">
      <c r="A59" s="19" t="s">
        <v>400</v>
      </c>
      <c r="B59" s="20" t="s">
        <v>526</v>
      </c>
      <c r="C59" s="20">
        <f>IF(ISNUMBER(SEARCH("pF",B59)), VALUE(LEFT(B59,SEARCH("pF",B59)-1)),
 IF(ISNUMBER(SEARCH("nF",B59)), VALUE(LEFT(B59,SEARCH("nF",B59)-1))*1000,
 IF(ISNUMBER(SEARCH("µF",B59)), VALUE(LEFT(B59,SEARCH("µF",B59)-1))*1000000,"")))</f>
        <v>4700000</v>
      </c>
      <c r="D59" s="20"/>
      <c r="E59" s="23" t="s">
        <v>174</v>
      </c>
    </row>
    <row r="60" spans="1:6" s="47" customFormat="1">
      <c r="A60" s="18" t="s">
        <v>849</v>
      </c>
      <c r="B60" s="18" t="s">
        <v>850</v>
      </c>
      <c r="C60" s="18">
        <f>IF(ISNUMBER(SEARCH("pF",B60)), VALUE(LEFT(B60,SEARCH("pF",B60)-1)),
 IF(ISNUMBER(SEARCH("nF",B60)), VALUE(LEFT(B60,SEARCH("nF",B60)-1))*1000,
 IF(ISNUMBER(SEARCH("uF",B60)), VALUE(LEFT(B60,SEARCH("uF",B60)-1))*1000000,"")))</f>
        <v>4700000</v>
      </c>
      <c r="D60" s="18"/>
      <c r="E60" s="21" t="s">
        <v>174</v>
      </c>
      <c r="F60" s="55">
        <v>300</v>
      </c>
    </row>
    <row r="61" spans="1:6" s="47" customFormat="1">
      <c r="A61" s="18" t="s">
        <v>844</v>
      </c>
      <c r="B61" s="18" t="s">
        <v>845</v>
      </c>
      <c r="C61" s="18">
        <f>IF(ISNUMBER(SEARCH("pF",B61)), VALUE(LEFT(B61,SEARCH("pF",B61)-1)),
 IF(ISNUMBER(SEARCH("nF",B61)), VALUE(LEFT(B61,SEARCH("nF",B61)-1))*1000,
 IF(ISNUMBER(SEARCH("uF",B61)), VALUE(LEFT(B61,SEARCH("uF",B61)-1))*1000000,"")))</f>
        <v>330</v>
      </c>
      <c r="D61" s="18"/>
      <c r="E61" s="21" t="s">
        <v>174</v>
      </c>
      <c r="F61" s="55">
        <v>3000</v>
      </c>
    </row>
    <row r="62" spans="1:6" s="47" customFormat="1">
      <c r="A62" s="19" t="s">
        <v>334</v>
      </c>
      <c r="B62" s="19" t="s">
        <v>522</v>
      </c>
      <c r="C62" s="20">
        <f t="shared" ref="C62:C67" si="2">IF(ISNUMBER(SEARCH("pF",B62)), VALUE(LEFT(B62,SEARCH("pF",B62)-1)),
 IF(ISNUMBER(SEARCH("nF",B62)), VALUE(LEFT(B62,SEARCH("nF",B62)-1))*1000,
 IF(ISNUMBER(SEARCH("µF",B62)), VALUE(LEFT(B62,SEARCH("µF",B62)-1))*1000000,"")))</f>
        <v>47000000</v>
      </c>
      <c r="D62" s="19"/>
      <c r="E62" s="22">
        <v>805</v>
      </c>
    </row>
    <row r="63" spans="1:6" s="47" customFormat="1">
      <c r="A63" s="19" t="s">
        <v>306</v>
      </c>
      <c r="B63" s="20" t="s">
        <v>14</v>
      </c>
      <c r="C63" s="20">
        <f t="shared" si="2"/>
        <v>100</v>
      </c>
      <c r="D63" s="20"/>
      <c r="E63" s="23" t="s">
        <v>173</v>
      </c>
    </row>
    <row r="64" spans="1:6" s="47" customFormat="1">
      <c r="A64" s="19" t="s">
        <v>308</v>
      </c>
      <c r="B64" s="19" t="s">
        <v>526</v>
      </c>
      <c r="C64" s="20">
        <f t="shared" si="2"/>
        <v>4700000</v>
      </c>
      <c r="D64" s="19"/>
      <c r="E64" s="21" t="s">
        <v>173</v>
      </c>
    </row>
    <row r="65" spans="1:6" s="47" customFormat="1">
      <c r="A65" s="20" t="s">
        <v>303</v>
      </c>
      <c r="B65" s="19" t="s">
        <v>527</v>
      </c>
      <c r="C65" s="20">
        <f t="shared" si="2"/>
        <v>1.8</v>
      </c>
      <c r="D65" s="19"/>
      <c r="E65" s="18">
        <v>402</v>
      </c>
    </row>
    <row r="66" spans="1:6" s="47" customFormat="1">
      <c r="A66" s="20" t="s">
        <v>302</v>
      </c>
      <c r="B66" s="19" t="s">
        <v>510</v>
      </c>
      <c r="C66" s="20">
        <f t="shared" si="2"/>
        <v>0.9</v>
      </c>
      <c r="D66" s="19"/>
      <c r="E66" s="21">
        <v>402</v>
      </c>
    </row>
    <row r="67" spans="1:6" s="47" customFormat="1">
      <c r="A67" s="20" t="s">
        <v>411</v>
      </c>
      <c r="B67" s="19" t="s">
        <v>528</v>
      </c>
      <c r="C67" s="20">
        <f t="shared" si="2"/>
        <v>10000</v>
      </c>
      <c r="D67" s="19"/>
      <c r="E67" s="22" t="s">
        <v>174</v>
      </c>
    </row>
    <row r="68" spans="1:6" s="47" customFormat="1">
      <c r="A68" s="41" t="s">
        <v>693</v>
      </c>
      <c r="B68" s="42" t="s">
        <v>696</v>
      </c>
      <c r="C68" s="45">
        <f>IF(ISNUMBER(SEARCH("pF",B68)), VALUE(LEFT(B68,SEARCH("pF",B68)-1)),
 IF(ISNUMBER(SEARCH("nF",B68)), VALUE(LEFT(B68,SEARCH("nF",B68)-1))*1000,
 IF(ISNUMBER(SEARCH("uF",B68)), VALUE(LEFT(B68,SEARCH("uF",B68)-1))*1000000,"")))</f>
        <v>100000</v>
      </c>
      <c r="D68" s="45"/>
      <c r="E68" s="41" t="s">
        <v>690</v>
      </c>
      <c r="F68" s="42">
        <v>300</v>
      </c>
    </row>
    <row r="69" spans="1:6" s="47" customFormat="1">
      <c r="A69" s="18" t="s">
        <v>819</v>
      </c>
      <c r="B69" s="18" t="s">
        <v>321</v>
      </c>
      <c r="C69" s="18">
        <f>IF(ISNUMBER(SEARCH("pF",B69)), VALUE(LEFT(B69,SEARCH("pF",B69)-1)),
 IF(ISNUMBER(SEARCH("nF",B69)), VALUE(LEFT(B69,SEARCH("nF",B69)-1))*1000,
 IF(ISNUMBER(SEARCH("uF",B69)), VALUE(LEFT(B69,SEARCH("uF",B69)-1))*1000000,"")))</f>
        <v>10</v>
      </c>
      <c r="D69" s="18"/>
      <c r="E69" s="21" t="s">
        <v>174</v>
      </c>
      <c r="F69" s="55">
        <v>3000</v>
      </c>
    </row>
    <row r="70" spans="1:6" s="47" customFormat="1">
      <c r="A70" s="41" t="s">
        <v>692</v>
      </c>
      <c r="B70" s="42" t="s">
        <v>697</v>
      </c>
      <c r="C70" s="45">
        <f>IF(ISNUMBER(SEARCH("pF",B70)), VALUE(LEFT(B70,SEARCH("pF",B70)-1)),
 IF(ISNUMBER(SEARCH("nF",B70)), VALUE(LEFT(B70,SEARCH("nF",B70)-1))*1000,
 IF(ISNUMBER(SEARCH("uF",B70)), VALUE(LEFT(B70,SEARCH("uF",B70)-1))*1000000,"")))</f>
        <v>1000</v>
      </c>
      <c r="D70" s="45"/>
      <c r="E70" s="41" t="s">
        <v>690</v>
      </c>
      <c r="F70" s="42">
        <v>150</v>
      </c>
    </row>
    <row r="71" spans="1:6" s="47" customFormat="1">
      <c r="A71" s="18" t="s">
        <v>841</v>
      </c>
      <c r="B71" s="18" t="s">
        <v>307</v>
      </c>
      <c r="C71" s="18">
        <f>IF(ISNUMBER(SEARCH("pF",B71)), VALUE(LEFT(B71,SEARCH("pF",B71)-1)),
 IF(ISNUMBER(SEARCH("nF",B71)), VALUE(LEFT(B71,SEARCH("nF",B71)-1))*1000,
 IF(ISNUMBER(SEARCH("uF",B71)), VALUE(LEFT(B71,SEARCH("uF",B71)-1))*1000000,"")))</f>
        <v>100</v>
      </c>
      <c r="D71" s="18"/>
      <c r="E71" s="21" t="s">
        <v>174</v>
      </c>
      <c r="F71" s="55">
        <v>1000</v>
      </c>
    </row>
    <row r="72" spans="1:6" s="47" customFormat="1">
      <c r="A72" s="18" t="s">
        <v>841</v>
      </c>
      <c r="B72" s="18" t="s">
        <v>307</v>
      </c>
      <c r="C72" s="18">
        <f>IF(ISNUMBER(SEARCH("pF",B72)), VALUE(LEFT(B72,SEARCH("pF",B72)-1)),
 IF(ISNUMBER(SEARCH("nF",B72)), VALUE(LEFT(B72,SEARCH("nF",B72)-1))*1000,
 IF(ISNUMBER(SEARCH("uF",B72)), VALUE(LEFT(B72,SEARCH("uF",B72)-1))*1000000,"")))</f>
        <v>100</v>
      </c>
      <c r="D72" s="18"/>
      <c r="E72" s="21" t="s">
        <v>174</v>
      </c>
      <c r="F72" s="55">
        <v>4000</v>
      </c>
    </row>
    <row r="73" spans="1:6" s="47" customFormat="1">
      <c r="A73" s="20" t="s">
        <v>398</v>
      </c>
      <c r="B73" s="19" t="s">
        <v>14</v>
      </c>
      <c r="C73" s="20">
        <f>IF(ISNUMBER(SEARCH("pF",B73)), VALUE(LEFT(B73,SEARCH("pF",B73)-1)),
 IF(ISNUMBER(SEARCH("nF",B73)), VALUE(LEFT(B73,SEARCH("nF",B73)-1))*1000,
 IF(ISNUMBER(SEARCH("µF",B73)), VALUE(LEFT(B73,SEARCH("µF",B73)-1))*1000000,"")))</f>
        <v>100</v>
      </c>
      <c r="D73" s="19"/>
      <c r="E73" s="21" t="s">
        <v>174</v>
      </c>
    </row>
    <row r="74" spans="1:6" s="47" customFormat="1">
      <c r="A74" s="18" t="s">
        <v>846</v>
      </c>
      <c r="B74" s="18" t="s">
        <v>845</v>
      </c>
      <c r="C74" s="18">
        <f>IF(ISNUMBER(SEARCH("pF",B74)), VALUE(LEFT(B74,SEARCH("pF",B74)-1)),
 IF(ISNUMBER(SEARCH("nF",B74)), VALUE(LEFT(B74,SEARCH("nF",B74)-1))*1000,
 IF(ISNUMBER(SEARCH("uF",B74)), VALUE(LEFT(B74,SEARCH("uF",B74)-1))*1000000,"")))</f>
        <v>330</v>
      </c>
      <c r="D74" s="18"/>
      <c r="E74" s="21" t="s">
        <v>174</v>
      </c>
      <c r="F74" s="55">
        <v>500</v>
      </c>
    </row>
    <row r="75" spans="1:6" s="47" customFormat="1">
      <c r="A75" s="18" t="s">
        <v>846</v>
      </c>
      <c r="B75" s="18" t="s">
        <v>845</v>
      </c>
      <c r="C75" s="18">
        <f>IF(ISNUMBER(SEARCH("pF",B75)), VALUE(LEFT(B75,SEARCH("pF",B75)-1)),
 IF(ISNUMBER(SEARCH("nF",B75)), VALUE(LEFT(B75,SEARCH("nF",B75)-1))*1000,
 IF(ISNUMBER(SEARCH("uF",B75)), VALUE(LEFT(B75,SEARCH("uF",B75)-1))*1000000,"")))</f>
        <v>330</v>
      </c>
      <c r="D75" s="18"/>
      <c r="E75" s="21" t="s">
        <v>174</v>
      </c>
      <c r="F75" s="55">
        <v>100</v>
      </c>
    </row>
    <row r="76" spans="1:6" s="47" customFormat="1">
      <c r="A76" s="18" t="s">
        <v>843</v>
      </c>
      <c r="B76" s="18" t="s">
        <v>301</v>
      </c>
      <c r="C76" s="18">
        <f>IF(ISNUMBER(SEARCH("pF",B76)), VALUE(LEFT(B76,SEARCH("pF",B76)-1)),
 IF(ISNUMBER(SEARCH("nF",B76)), VALUE(LEFT(B76,SEARCH("nF",B76)-1))*1000,
 IF(ISNUMBER(SEARCH("uF",B76)), VALUE(LEFT(B76,SEARCH("uF",B76)-1))*1000000,"")))</f>
        <v>100</v>
      </c>
      <c r="D76" s="18"/>
      <c r="E76" s="21" t="s">
        <v>178</v>
      </c>
      <c r="F76" s="55">
        <v>5000</v>
      </c>
    </row>
    <row r="77" spans="1:6" s="47" customFormat="1">
      <c r="A77" s="20" t="s">
        <v>333</v>
      </c>
      <c r="B77" s="20" t="s">
        <v>529</v>
      </c>
      <c r="C77" s="20">
        <f>IF(ISNUMBER(SEARCH("pF",B77)), VALUE(LEFT(B77,SEARCH("pF",B77)-1)),
 IF(ISNUMBER(SEARCH("nF",B77)), VALUE(LEFT(B77,SEARCH("nF",B77)-1))*1000,
 IF(ISNUMBER(SEARCH("µF",B77)), VALUE(LEFT(B77,SEARCH("µF",B77)-1))*1000000,"")))</f>
        <v>27</v>
      </c>
      <c r="D77" s="20"/>
      <c r="E77" s="23">
        <v>805</v>
      </c>
    </row>
    <row r="78" spans="1:6" s="47" customFormat="1">
      <c r="A78" s="20" t="s">
        <v>331</v>
      </c>
      <c r="B78" s="19" t="s">
        <v>530</v>
      </c>
      <c r="C78" s="20">
        <f>IF(ISNUMBER(SEARCH("pF",B78)), VALUE(LEFT(B78,SEARCH("pF",B78)-1)),
 IF(ISNUMBER(SEARCH("nF",B78)), VALUE(LEFT(B78,SEARCH("nF",B78)-1))*1000,
 IF(ISNUMBER(SEARCH("µF",B78)), VALUE(LEFT(B78,SEARCH("µF",B78)-1))*1000000,"")))</f>
        <v>390</v>
      </c>
      <c r="D78" s="19"/>
      <c r="E78" s="22" t="s">
        <v>178</v>
      </c>
    </row>
    <row r="79" spans="1:6" s="47" customFormat="1">
      <c r="A79" s="20" t="s">
        <v>316</v>
      </c>
      <c r="B79" s="19" t="s">
        <v>525</v>
      </c>
      <c r="C79" s="20">
        <f>IF(ISNUMBER(SEARCH("pF",B79)), VALUE(LEFT(B79,SEARCH("pF",B79)-1)),
 IF(ISNUMBER(SEARCH("nF",B79)), VALUE(LEFT(B79,SEARCH("nF",B79)-1))*1000,
 IF(ISNUMBER(SEARCH("µF",B79)), VALUE(LEFT(B79,SEARCH("µF",B79)-1))*1000000,"")))</f>
        <v>22000000</v>
      </c>
      <c r="D79" s="19"/>
      <c r="E79" s="21" t="s">
        <v>531</v>
      </c>
    </row>
    <row r="80" spans="1:6" s="47" customFormat="1">
      <c r="A80" s="58" t="s">
        <v>940</v>
      </c>
      <c r="B80" s="58" t="s">
        <v>949</v>
      </c>
      <c r="C80" s="18">
        <f>IF(ISNUMBER(SEARCH("pF",B80)), VALUE(LEFT(B80,SEARCH("pF",B80)-1)),
 IF(ISNUMBER(SEARCH("nF",B80)), VALUE(LEFT(B80,SEARCH("nF",B80)-1))*1000,
 IF(ISNUMBER(SEARCH("uF",B80)), VALUE(LEFT(B80,SEARCH("uF",B80)-1))*1000000,"")))</f>
        <v>22000</v>
      </c>
      <c r="D80" s="18"/>
      <c r="E80" s="58" t="s">
        <v>952</v>
      </c>
      <c r="F80" s="58" t="s">
        <v>955</v>
      </c>
    </row>
    <row r="81" spans="1:6" s="47" customFormat="1">
      <c r="A81" s="20" t="s">
        <v>359</v>
      </c>
      <c r="B81" s="19" t="s">
        <v>519</v>
      </c>
      <c r="C81" s="20">
        <f>IF(ISNUMBER(SEARCH("pF",B81)), VALUE(LEFT(B81,SEARCH("pF",B81)-1)),
 IF(ISNUMBER(SEARCH("nF",B81)), VALUE(LEFT(B81,SEARCH("nF",B81)-1))*1000,
 IF(ISNUMBER(SEARCH("µF",B81)), VALUE(LEFT(B81,SEARCH("µF",B81)-1))*1000000,"")))</f>
        <v>10000000</v>
      </c>
      <c r="D81" s="19"/>
      <c r="E81" s="22" t="s">
        <v>532</v>
      </c>
    </row>
    <row r="82" spans="1:6" s="47" customFormat="1">
      <c r="A82" s="20" t="s">
        <v>317</v>
      </c>
      <c r="B82" s="19" t="s">
        <v>519</v>
      </c>
      <c r="C82" s="20">
        <f>IF(ISNUMBER(SEARCH("pF",B82)), VALUE(LEFT(B82,SEARCH("pF",B82)-1)),
 IF(ISNUMBER(SEARCH("nF",B82)), VALUE(LEFT(B82,SEARCH("nF",B82)-1))*1000,
 IF(ISNUMBER(SEARCH("µF",B82)), VALUE(LEFT(B82,SEARCH("µF",B82)-1))*1000000,"")))</f>
        <v>10000000</v>
      </c>
      <c r="D82" s="19"/>
      <c r="E82" s="22">
        <v>1206</v>
      </c>
    </row>
    <row r="83" spans="1:6" s="47" customFormat="1">
      <c r="A83" s="58" t="s">
        <v>934</v>
      </c>
      <c r="B83" s="58" t="s">
        <v>301</v>
      </c>
      <c r="C83" s="18">
        <f>IF(ISNUMBER(SEARCH("pF",B83)), VALUE(LEFT(B83,SEARCH("pF",B83)-1)),
 IF(ISNUMBER(SEARCH("nF",B83)), VALUE(LEFT(B83,SEARCH("nF",B83)-1))*1000,
 IF(ISNUMBER(SEARCH("uF",B83)), VALUE(LEFT(B83,SEARCH("uF",B83)-1))*1000000,"")))</f>
        <v>100</v>
      </c>
      <c r="D83" s="18"/>
      <c r="E83" s="58" t="s">
        <v>952</v>
      </c>
      <c r="F83" s="58" t="s">
        <v>958</v>
      </c>
    </row>
    <row r="84" spans="1:6" s="47" customFormat="1">
      <c r="A84" s="58" t="s">
        <v>933</v>
      </c>
      <c r="B84" s="58" t="s">
        <v>179</v>
      </c>
      <c r="C84" s="18">
        <f>IF(ISNUMBER(SEARCH("pF",B84)), VALUE(LEFT(B84,SEARCH("pF",B84)-1)),
 IF(ISNUMBER(SEARCH("nF",B84)), VALUE(LEFT(B84,SEARCH("nF",B84)-1))*1000,
 IF(ISNUMBER(SEARCH("uF",B84)), VALUE(LEFT(B84,SEARCH("uF",B84)-1))*1000000,"")))</f>
        <v>22</v>
      </c>
      <c r="D84" s="18"/>
      <c r="E84" s="58" t="s">
        <v>952</v>
      </c>
      <c r="F84" s="58" t="s">
        <v>954</v>
      </c>
    </row>
    <row r="85" spans="1:6" s="47" customFormat="1">
      <c r="A85" s="58" t="s">
        <v>929</v>
      </c>
      <c r="B85" s="58" t="s">
        <v>944</v>
      </c>
      <c r="C85" s="18">
        <f>IF(ISNUMBER(SEARCH("pF",B85)), VALUE(LEFT(B85,SEARCH("pF",B85)-1)),
 IF(ISNUMBER(SEARCH("nF",B85)), VALUE(LEFT(B85,SEARCH("nF",B85)-1))*1000,
 IF(ISNUMBER(SEARCH("uF",B85)), VALUE(LEFT(B85,SEARCH("uF",B85)-1))*1000000,"")))</f>
        <v>8</v>
      </c>
      <c r="D85" s="18"/>
      <c r="E85" s="58" t="s">
        <v>952</v>
      </c>
      <c r="F85" s="58" t="s">
        <v>955</v>
      </c>
    </row>
    <row r="86" spans="1:6" s="47" customFormat="1">
      <c r="A86" s="20" t="s">
        <v>415</v>
      </c>
      <c r="B86" s="19" t="s">
        <v>533</v>
      </c>
      <c r="C86" s="20">
        <f>IF(ISNUMBER(SEARCH("pF",B86)), VALUE(LEFT(B86,SEARCH("pF",B86)-1)),
 IF(ISNUMBER(SEARCH("nF",B86)), VALUE(LEFT(B86,SEARCH("nF",B86)-1))*1000,
 IF(ISNUMBER(SEARCH("µF",B86)), VALUE(LEFT(B86,SEARCH("µF",B86)-1))*1000000,"")))</f>
        <v>1000</v>
      </c>
      <c r="D86" s="19"/>
      <c r="E86" s="22" t="s">
        <v>173</v>
      </c>
    </row>
    <row r="87" spans="1:6" s="47" customFormat="1">
      <c r="A87" s="18" t="s">
        <v>824</v>
      </c>
      <c r="B87" s="18" t="s">
        <v>825</v>
      </c>
      <c r="C87" s="18">
        <f>IF(ISNUMBER(SEARCH("pF",B87)), VALUE(LEFT(B87,SEARCH("pF",B87)-1)),
 IF(ISNUMBER(SEARCH("nF",B87)), VALUE(LEFT(B87,SEARCH("nF",B87)-1))*1000,
 IF(ISNUMBER(SEARCH("uF",B87)), VALUE(LEFT(B87,SEARCH("uF",B87)-1))*1000000,"")))</f>
        <v>39</v>
      </c>
      <c r="D87" s="18"/>
      <c r="E87" s="21" t="s">
        <v>174</v>
      </c>
      <c r="F87" s="55">
        <v>500</v>
      </c>
    </row>
    <row r="88" spans="1:6" s="47" customFormat="1">
      <c r="A88" s="20" t="s">
        <v>401</v>
      </c>
      <c r="B88" s="19" t="s">
        <v>534</v>
      </c>
      <c r="C88" s="20">
        <f>IF(ISNUMBER(SEARCH("pF",B88)), VALUE(LEFT(B88,SEARCH("pF",B88)-1)),
 IF(ISNUMBER(SEARCH("nF",B88)), VALUE(LEFT(B88,SEARCH("nF",B88)-1))*1000,
 IF(ISNUMBER(SEARCH("µF",B88)), VALUE(LEFT(B88,SEARCH("µF",B88)-1))*1000000,"")))</f>
        <v>2200000</v>
      </c>
      <c r="D88" s="19"/>
      <c r="E88" s="21" t="s">
        <v>174</v>
      </c>
    </row>
    <row r="89" spans="1:6" s="47" customFormat="1">
      <c r="A89" s="20" t="s">
        <v>405</v>
      </c>
      <c r="B89" s="19" t="s">
        <v>503</v>
      </c>
      <c r="C89" s="20">
        <f>IF(ISNUMBER(SEARCH("pF",B89)), VALUE(LEFT(B89,SEARCH("pF",B89)-1)),
 IF(ISNUMBER(SEARCH("nF",B89)), VALUE(LEFT(B89,SEARCH("nF",B89)-1))*1000,
 IF(ISNUMBER(SEARCH("µF",B89)), VALUE(LEFT(B89,SEARCH("µF",B89)-1))*1000000,"")))</f>
        <v>100000</v>
      </c>
      <c r="D89" s="19"/>
      <c r="E89" s="22" t="s">
        <v>174</v>
      </c>
    </row>
    <row r="90" spans="1:6" s="47" customFormat="1">
      <c r="A90" s="20" t="s">
        <v>324</v>
      </c>
      <c r="B90" s="19" t="s">
        <v>535</v>
      </c>
      <c r="C90" s="20">
        <f>IF(ISNUMBER(SEARCH("pF",B90)), VALUE(LEFT(B90,SEARCH("pF",B90)-1)),
 IF(ISNUMBER(SEARCH("nF",B90)), VALUE(LEFT(B90,SEARCH("nF",B90)-1))*1000,
 IF(ISNUMBER(SEARCH("µF",B90)), VALUE(LEFT(B90,SEARCH("µF",B90)-1))*1000000,"")))</f>
        <v>3300</v>
      </c>
      <c r="D90" s="19"/>
      <c r="E90" s="22" t="s">
        <v>178</v>
      </c>
    </row>
    <row r="91" spans="1:6" s="47" customFormat="1">
      <c r="A91" s="20" t="s">
        <v>319</v>
      </c>
      <c r="B91" s="19" t="s">
        <v>525</v>
      </c>
      <c r="C91" s="20">
        <f>IF(ISNUMBER(SEARCH("pF",B91)), VALUE(LEFT(B91,SEARCH("pF",B91)-1)),
 IF(ISNUMBER(SEARCH("nF",B91)), VALUE(LEFT(B91,SEARCH("nF",B91)-1))*1000,
 IF(ISNUMBER(SEARCH("µF",B91)), VALUE(LEFT(B91,SEARCH("µF",B91)-1))*1000000,"")))</f>
        <v>22000000</v>
      </c>
      <c r="D91" s="19"/>
      <c r="E91" s="22" t="s">
        <v>178</v>
      </c>
    </row>
    <row r="92" spans="1:6" s="47" customFormat="1">
      <c r="A92" s="18" t="s">
        <v>779</v>
      </c>
      <c r="B92" s="18" t="s">
        <v>778</v>
      </c>
      <c r="C92" s="18">
        <f>IF(ISNUMBER(SEARCH("pF",B92)), VALUE(LEFT(B92,SEARCH("pF",B92)-1)),
 IF(ISNUMBER(SEARCH("nF",B92)), VALUE(LEFT(B92,SEARCH("nF",B92)-1))*1000,
 IF(ISNUMBER(SEARCH("uF",B92)), VALUE(LEFT(B92,SEARCH("uF",B92)-1))*1000000,"")))</f>
        <v>2200000</v>
      </c>
      <c r="D92" s="18"/>
      <c r="E92" s="21" t="s">
        <v>178</v>
      </c>
      <c r="F92" s="55">
        <v>1000</v>
      </c>
    </row>
    <row r="93" spans="1:6" s="47" customFormat="1">
      <c r="A93" s="18" t="s">
        <v>780</v>
      </c>
      <c r="B93" s="18" t="s">
        <v>781</v>
      </c>
      <c r="C93" s="18">
        <f>IF(ISNUMBER(SEARCH("pF",B93)), VALUE(LEFT(B93,SEARCH("pF",B93)-1)),
 IF(ISNUMBER(SEARCH("nF",B93)), VALUE(LEFT(B93,SEARCH("nF",B93)-1))*1000,
 IF(ISNUMBER(SEARCH("uF",B93)), VALUE(LEFT(B93,SEARCH("uF",B93)-1))*1000000,"")))</f>
        <v>1000000</v>
      </c>
      <c r="D93" s="18"/>
      <c r="E93" s="21" t="s">
        <v>178</v>
      </c>
      <c r="F93" s="55">
        <v>1000</v>
      </c>
    </row>
    <row r="94" spans="1:6" s="47" customFormat="1">
      <c r="A94" s="20" t="s">
        <v>312</v>
      </c>
      <c r="B94" s="19" t="s">
        <v>525</v>
      </c>
      <c r="C94" s="20">
        <f>IF(ISNUMBER(SEARCH("pF",B94)), VALUE(LEFT(B94,SEARCH("pF",B94)-1)),
 IF(ISNUMBER(SEARCH("nF",B94)), VALUE(LEFT(B94,SEARCH("nF",B94)-1))*1000,
 IF(ISNUMBER(SEARCH("µF",B94)), VALUE(LEFT(B94,SEARCH("µF",B94)-1))*1000000,"")))</f>
        <v>22000000</v>
      </c>
      <c r="D94" s="19"/>
      <c r="E94" s="22">
        <v>1210</v>
      </c>
    </row>
    <row r="95" spans="1:6" s="47" customFormat="1">
      <c r="A95" s="20" t="s">
        <v>402</v>
      </c>
      <c r="B95" s="19" t="s">
        <v>534</v>
      </c>
      <c r="C95" s="20">
        <f>IF(ISNUMBER(SEARCH("pF",B95)), VALUE(LEFT(B95,SEARCH("pF",B95)-1)),
 IF(ISNUMBER(SEARCH("nF",B95)), VALUE(LEFT(B95,SEARCH("nF",B95)-1))*1000,
 IF(ISNUMBER(SEARCH("µF",B95)), VALUE(LEFT(B95,SEARCH("µF",B95)-1))*1000000,"")))</f>
        <v>2200000</v>
      </c>
      <c r="D95" s="19"/>
      <c r="E95" s="22" t="s">
        <v>174</v>
      </c>
    </row>
    <row r="96" spans="1:6" s="47" customFormat="1">
      <c r="A96" s="20" t="s">
        <v>325</v>
      </c>
      <c r="B96" s="18" t="s">
        <v>536</v>
      </c>
      <c r="C96" s="20">
        <f>IF(ISNUMBER(SEARCH("pF",B96)), VALUE(LEFT(B96,SEARCH("pF",B96)-1)),
 IF(ISNUMBER(SEARCH("nF",B96)), VALUE(LEFT(B96,SEARCH("nF",B96)-1))*1000,
 IF(ISNUMBER(SEARCH("µF",B96)), VALUE(LEFT(B96,SEARCH("µF",B96)-1))*1000000,"")))</f>
        <v>0.1</v>
      </c>
      <c r="D96" s="19"/>
      <c r="E96" s="21" t="s">
        <v>695</v>
      </c>
    </row>
    <row r="97" spans="1:6" s="47" customFormat="1">
      <c r="A97" s="19" t="s">
        <v>180</v>
      </c>
      <c r="B97" s="20" t="s">
        <v>9</v>
      </c>
      <c r="C97" s="20">
        <f>IF(ISNUMBER(SEARCH("pF",B97)), VALUE(LEFT(B97,SEARCH("pF",B97)-1)),
 IF(ISNUMBER(SEARCH("nF",B97)), VALUE(LEFT(B97,SEARCH("nF",B97)-1))*1000,
 IF(ISNUMBER(SEARCH("uF",B97)), VALUE(LEFT(B97,SEARCH("uF",B97)-1))*1000000,"")))</f>
        <v>220000000</v>
      </c>
      <c r="D97" s="20" t="s">
        <v>305</v>
      </c>
      <c r="E97" s="23" t="s">
        <v>177</v>
      </c>
    </row>
    <row r="98" spans="1:6" s="47" customFormat="1">
      <c r="A98" s="20" t="s">
        <v>313</v>
      </c>
      <c r="B98" s="19" t="s">
        <v>538</v>
      </c>
      <c r="C98" s="20">
        <f>IF(ISNUMBER(SEARCH("pF",B98)), VALUE(LEFT(B98,SEARCH("pF",B98)-1)),
 IF(ISNUMBER(SEARCH("nF",B98)), VALUE(LEFT(B98,SEARCH("nF",B98)-1))*1000,
 IF(ISNUMBER(SEARCH("µF",B98)), VALUE(LEFT(B98,SEARCH("µF",B98)-1))*1000000,"")))</f>
        <v>100000000</v>
      </c>
      <c r="D98" s="19"/>
      <c r="E98" s="21" t="s">
        <v>537</v>
      </c>
    </row>
    <row r="99" spans="1:6" s="47" customFormat="1">
      <c r="A99" s="45" t="s">
        <v>706</v>
      </c>
      <c r="B99" s="45" t="s">
        <v>707</v>
      </c>
      <c r="C99" s="45">
        <f>IF(ISNUMBER(SEARCH("pF",B99)), VALUE(LEFT(B99,SEARCH("pF",B99)-1)),
 IF(ISNUMBER(SEARCH("nF",B99)), VALUE(LEFT(B99,SEARCH("nF",B99)-1))*1000,
 IF(ISNUMBER(SEARCH("uF",B99)), VALUE(LEFT(B99,SEARCH("uF",B99)-1))*1000000,"")))</f>
        <v>10000000</v>
      </c>
      <c r="D99" s="45"/>
      <c r="E99" s="46" t="s">
        <v>178</v>
      </c>
      <c r="F99" s="42">
        <v>200</v>
      </c>
    </row>
    <row r="100" spans="1:6" s="47" customFormat="1">
      <c r="A100" s="20" t="s">
        <v>314</v>
      </c>
      <c r="B100" s="19" t="s">
        <v>525</v>
      </c>
      <c r="C100" s="20">
        <f>IF(ISNUMBER(SEARCH("pF",B100)), VALUE(LEFT(B100,SEARCH("pF",B100)-1)),
 IF(ISNUMBER(SEARCH("nF",B100)), VALUE(LEFT(B100,SEARCH("nF",B100)-1))*1000,
 IF(ISNUMBER(SEARCH("µF",B100)), VALUE(LEFT(B100,SEARCH("µF",B100)-1))*1000000,"")))</f>
        <v>22000000</v>
      </c>
      <c r="D100" s="19"/>
      <c r="E100" s="21">
        <v>1210</v>
      </c>
    </row>
    <row r="101" spans="1:6" s="47" customFormat="1">
      <c r="A101" s="20" t="s">
        <v>367</v>
      </c>
      <c r="B101" s="18" t="s">
        <v>540</v>
      </c>
      <c r="C101" s="20">
        <f>IF(ISNUMBER(SEARCH("pF",B101)), VALUE(LEFT(B101,SEARCH("pF",B101)-1)),
 IF(ISNUMBER(SEARCH("nF",B101)), VALUE(LEFT(B101,SEARCH("nF",B101)-1))*1000,
 IF(ISNUMBER(SEARCH("µF",B101)), VALUE(LEFT(B101,SEARCH("µF",B101)-1))*1000000,"")))</f>
        <v>1</v>
      </c>
      <c r="D101" s="21"/>
      <c r="E101" s="18" t="s">
        <v>539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69DCD-FCD7-43B7-9879-8C62D3BF238B}">
  <dimension ref="A1:E43"/>
  <sheetViews>
    <sheetView topLeftCell="A25" workbookViewId="0">
      <selection activeCell="G16" sqref="G16"/>
    </sheetView>
  </sheetViews>
  <sheetFormatPr defaultRowHeight="13.8"/>
  <cols>
    <col min="1" max="1" width="28.8984375" customWidth="1"/>
    <col min="2" max="2" width="17.8984375" customWidth="1"/>
    <col min="3" max="3" width="14.8984375" customWidth="1"/>
    <col min="4" max="4" width="36.59765625" customWidth="1"/>
  </cols>
  <sheetData>
    <row r="1" spans="1:4">
      <c r="A1" s="50" t="s">
        <v>435</v>
      </c>
      <c r="B1" s="50"/>
      <c r="C1" s="50"/>
      <c r="D1" s="50"/>
    </row>
    <row r="2" spans="1:4">
      <c r="A2" s="25" t="s">
        <v>169</v>
      </c>
      <c r="B2" s="25" t="s">
        <v>184</v>
      </c>
      <c r="C2" s="25" t="s">
        <v>452</v>
      </c>
      <c r="D2" s="27" t="s">
        <v>171</v>
      </c>
    </row>
    <row r="3" spans="1:4">
      <c r="A3" s="2"/>
      <c r="B3" s="2" t="s">
        <v>185</v>
      </c>
      <c r="C3" s="2"/>
      <c r="D3" s="2" t="s">
        <v>174</v>
      </c>
    </row>
    <row r="4" spans="1:4">
      <c r="A4" s="2"/>
      <c r="B4" s="2" t="s">
        <v>186</v>
      </c>
      <c r="C4" s="2"/>
      <c r="D4" s="2" t="s">
        <v>174</v>
      </c>
    </row>
    <row r="5" spans="1:4">
      <c r="A5" s="2" t="s">
        <v>436</v>
      </c>
      <c r="B5" s="28" t="s">
        <v>437</v>
      </c>
      <c r="C5" s="2"/>
      <c r="D5" s="2" t="s">
        <v>174</v>
      </c>
    </row>
    <row r="6" spans="1:4">
      <c r="A6" s="6" t="s">
        <v>438</v>
      </c>
      <c r="B6" s="28" t="s">
        <v>439</v>
      </c>
      <c r="C6" s="2"/>
      <c r="D6" s="47"/>
    </row>
    <row r="7" spans="1:4">
      <c r="A7" s="47" t="s">
        <v>441</v>
      </c>
      <c r="B7" s="29" t="s">
        <v>442</v>
      </c>
      <c r="C7" s="47"/>
      <c r="D7" s="47"/>
    </row>
    <row r="8" spans="1:4">
      <c r="A8" s="2" t="s">
        <v>443</v>
      </c>
      <c r="B8" s="28" t="s">
        <v>444</v>
      </c>
      <c r="C8" s="2"/>
      <c r="D8" s="47"/>
    </row>
    <row r="9" spans="1:4">
      <c r="A9" s="2" t="s">
        <v>445</v>
      </c>
      <c r="B9" s="28" t="s">
        <v>446</v>
      </c>
      <c r="C9" s="2"/>
      <c r="D9" s="47"/>
    </row>
    <row r="10" spans="1:4">
      <c r="A10" s="2" t="s">
        <v>447</v>
      </c>
      <c r="B10" s="28" t="s">
        <v>448</v>
      </c>
      <c r="C10" s="2"/>
      <c r="D10" s="47"/>
    </row>
    <row r="11" spans="1:4">
      <c r="A11" s="3" t="s">
        <v>449</v>
      </c>
      <c r="B11" s="15" t="s">
        <v>450</v>
      </c>
      <c r="C11" s="47"/>
      <c r="D11" s="47"/>
    </row>
    <row r="12" spans="1:4">
      <c r="A12" s="47" t="s">
        <v>451</v>
      </c>
      <c r="B12" s="29" t="s">
        <v>444</v>
      </c>
      <c r="C12" s="29" t="s">
        <v>453</v>
      </c>
      <c r="D12" s="47"/>
    </row>
    <row r="13" spans="1:4">
      <c r="A13" s="3" t="s">
        <v>454</v>
      </c>
      <c r="B13" s="15" t="s">
        <v>455</v>
      </c>
      <c r="C13" s="15" t="s">
        <v>456</v>
      </c>
      <c r="D13" s="47"/>
    </row>
    <row r="14" spans="1:4">
      <c r="A14" s="2" t="s">
        <v>457</v>
      </c>
      <c r="B14" s="2" t="s">
        <v>458</v>
      </c>
      <c r="C14" s="2" t="s">
        <v>459</v>
      </c>
      <c r="D14" s="47"/>
    </row>
    <row r="15" spans="1:4">
      <c r="A15" s="47" t="s">
        <v>436</v>
      </c>
      <c r="B15" s="47" t="s">
        <v>460</v>
      </c>
      <c r="C15" s="47" t="s">
        <v>456</v>
      </c>
      <c r="D15" s="47"/>
    </row>
    <row r="16" spans="1:4">
      <c r="A16" s="28" t="s">
        <v>462</v>
      </c>
      <c r="B16" s="28" t="s">
        <v>463</v>
      </c>
      <c r="C16" s="28" t="s">
        <v>464</v>
      </c>
      <c r="D16" s="2" t="s">
        <v>174</v>
      </c>
    </row>
    <row r="17" spans="1:5">
      <c r="A17" s="2" t="s">
        <v>465</v>
      </c>
      <c r="B17" s="28" t="s">
        <v>466</v>
      </c>
      <c r="C17" s="28" t="s">
        <v>467</v>
      </c>
      <c r="D17" s="2" t="s">
        <v>174</v>
      </c>
    </row>
    <row r="18" spans="1:5">
      <c r="A18" s="2" t="s">
        <v>468</v>
      </c>
      <c r="B18" s="28" t="s">
        <v>469</v>
      </c>
      <c r="C18" s="28" t="s">
        <v>456</v>
      </c>
      <c r="D18" s="47"/>
    </row>
    <row r="19" spans="1:5">
      <c r="A19" s="2" t="s">
        <v>470</v>
      </c>
      <c r="B19" s="28" t="s">
        <v>471</v>
      </c>
      <c r="C19" s="28" t="s">
        <v>472</v>
      </c>
      <c r="D19" s="47"/>
    </row>
    <row r="20" spans="1:5">
      <c r="A20" s="2" t="s">
        <v>436</v>
      </c>
      <c r="B20" s="28" t="s">
        <v>460</v>
      </c>
      <c r="C20" s="28" t="s">
        <v>473</v>
      </c>
      <c r="D20" s="47"/>
    </row>
    <row r="21" spans="1:5">
      <c r="A21" s="6" t="s">
        <v>474</v>
      </c>
      <c r="B21" s="2"/>
      <c r="C21" s="2"/>
      <c r="D21" s="47"/>
    </row>
    <row r="22" spans="1:5">
      <c r="A22" s="2" t="s">
        <v>476</v>
      </c>
      <c r="B22" s="2" t="s">
        <v>448</v>
      </c>
      <c r="C22" s="2" t="s">
        <v>477</v>
      </c>
      <c r="D22" s="47"/>
    </row>
    <row r="23" spans="1:5">
      <c r="A23" s="2" t="s">
        <v>478</v>
      </c>
      <c r="B23" s="2" t="s">
        <v>479</v>
      </c>
      <c r="C23" s="2" t="s">
        <v>480</v>
      </c>
      <c r="D23" s="2" t="s">
        <v>174</v>
      </c>
    </row>
    <row r="24" spans="1:5">
      <c r="A24" s="2" t="s">
        <v>715</v>
      </c>
      <c r="B24" s="47" t="s">
        <v>716</v>
      </c>
      <c r="C24" s="2">
        <v>0.7</v>
      </c>
      <c r="D24" s="47" t="s">
        <v>736</v>
      </c>
      <c r="E24" s="37"/>
    </row>
    <row r="25" spans="1:5">
      <c r="A25" s="6" t="s">
        <v>487</v>
      </c>
      <c r="B25" s="47" t="s">
        <v>716</v>
      </c>
      <c r="C25" s="2">
        <v>1.4</v>
      </c>
      <c r="D25" s="47" t="s">
        <v>736</v>
      </c>
      <c r="E25" s="37"/>
    </row>
    <row r="26" spans="1:5">
      <c r="A26" s="47" t="s">
        <v>488</v>
      </c>
      <c r="B26" s="47" t="s">
        <v>717</v>
      </c>
      <c r="C26" s="47">
        <v>0.6</v>
      </c>
      <c r="D26" s="47" t="s">
        <v>736</v>
      </c>
      <c r="E26" s="37"/>
    </row>
    <row r="27" spans="1:5">
      <c r="A27" s="2" t="s">
        <v>489</v>
      </c>
      <c r="B27" s="47" t="s">
        <v>718</v>
      </c>
      <c r="C27" s="2">
        <v>0.4</v>
      </c>
      <c r="D27" s="47" t="s">
        <v>736</v>
      </c>
      <c r="E27" s="37"/>
    </row>
    <row r="28" spans="1:5">
      <c r="A28" s="2" t="s">
        <v>490</v>
      </c>
      <c r="B28" s="47" t="s">
        <v>719</v>
      </c>
      <c r="C28" s="2">
        <v>0.34</v>
      </c>
      <c r="D28" s="47" t="s">
        <v>736</v>
      </c>
      <c r="E28" s="37"/>
    </row>
    <row r="29" spans="1:5">
      <c r="A29" s="2" t="s">
        <v>491</v>
      </c>
      <c r="B29" s="47" t="s">
        <v>720</v>
      </c>
      <c r="C29" s="2">
        <v>0.08</v>
      </c>
      <c r="D29" s="47" t="s">
        <v>737</v>
      </c>
      <c r="E29" s="37"/>
    </row>
    <row r="30" spans="1:5">
      <c r="A30" s="3" t="s">
        <v>492</v>
      </c>
      <c r="B30" s="47" t="s">
        <v>721</v>
      </c>
      <c r="C30" s="47">
        <v>0.2</v>
      </c>
      <c r="D30" s="47" t="s">
        <v>737</v>
      </c>
      <c r="E30" s="37"/>
    </row>
    <row r="31" spans="1:5">
      <c r="A31" s="47" t="s">
        <v>493</v>
      </c>
      <c r="B31" s="47" t="s">
        <v>722</v>
      </c>
      <c r="C31" s="47">
        <v>0.36</v>
      </c>
      <c r="D31" s="47" t="s">
        <v>738</v>
      </c>
      <c r="E31" s="37"/>
    </row>
    <row r="32" spans="1:5">
      <c r="A32" s="3" t="s">
        <v>494</v>
      </c>
      <c r="B32" s="47" t="s">
        <v>723</v>
      </c>
      <c r="C32" s="47">
        <v>0.22</v>
      </c>
      <c r="D32" s="47" t="s">
        <v>736</v>
      </c>
      <c r="E32" s="37"/>
    </row>
    <row r="33" spans="1:5">
      <c r="A33" s="2" t="s">
        <v>495</v>
      </c>
      <c r="B33" s="47" t="s">
        <v>724</v>
      </c>
      <c r="C33" s="2">
        <v>0.38</v>
      </c>
      <c r="D33" s="47" t="s">
        <v>736</v>
      </c>
      <c r="E33" s="37"/>
    </row>
    <row r="34" spans="1:5">
      <c r="A34" s="47" t="s">
        <v>496</v>
      </c>
      <c r="B34" s="47" t="s">
        <v>725</v>
      </c>
      <c r="C34" s="47">
        <v>0.8</v>
      </c>
      <c r="D34" s="47" t="s">
        <v>738</v>
      </c>
      <c r="E34" s="37"/>
    </row>
    <row r="35" spans="1:5">
      <c r="A35" s="2" t="s">
        <v>497</v>
      </c>
      <c r="B35" s="47" t="s">
        <v>721</v>
      </c>
      <c r="C35" s="2"/>
      <c r="D35" s="47" t="s">
        <v>736</v>
      </c>
      <c r="E35" s="37"/>
    </row>
    <row r="36" spans="1:5">
      <c r="A36" s="2" t="s">
        <v>498</v>
      </c>
      <c r="B36" s="47" t="s">
        <v>726</v>
      </c>
      <c r="C36" s="2">
        <v>0.42</v>
      </c>
      <c r="D36" s="47" t="s">
        <v>736</v>
      </c>
      <c r="E36" s="37"/>
    </row>
    <row r="37" spans="1:5">
      <c r="A37" s="2" t="s">
        <v>499</v>
      </c>
      <c r="B37" s="47" t="s">
        <v>727</v>
      </c>
      <c r="C37" s="2">
        <v>0.65</v>
      </c>
      <c r="D37" s="47" t="s">
        <v>736</v>
      </c>
      <c r="E37" s="37"/>
    </row>
    <row r="38" spans="1:5">
      <c r="A38" s="2" t="s">
        <v>732</v>
      </c>
      <c r="B38" s="2" t="s">
        <v>728</v>
      </c>
      <c r="C38" s="2">
        <v>1.5</v>
      </c>
      <c r="D38" s="47" t="s">
        <v>740</v>
      </c>
      <c r="E38" s="1"/>
    </row>
    <row r="39" spans="1:5">
      <c r="A39" s="6" t="s">
        <v>500</v>
      </c>
      <c r="B39" s="47" t="s">
        <v>729</v>
      </c>
      <c r="C39" s="2">
        <v>0.3</v>
      </c>
      <c r="D39" s="47" t="s">
        <v>739</v>
      </c>
      <c r="E39" s="37"/>
    </row>
    <row r="40" spans="1:5">
      <c r="A40" s="2" t="s">
        <v>501</v>
      </c>
      <c r="B40" s="47" t="s">
        <v>730</v>
      </c>
      <c r="C40" s="2">
        <v>0.3</v>
      </c>
      <c r="D40" s="47" t="s">
        <v>739</v>
      </c>
      <c r="E40" s="37"/>
    </row>
    <row r="41" spans="1:5">
      <c r="A41" s="2" t="s">
        <v>502</v>
      </c>
      <c r="B41" s="47" t="s">
        <v>731</v>
      </c>
      <c r="C41" s="2">
        <v>0.4</v>
      </c>
      <c r="D41" s="47" t="s">
        <v>741</v>
      </c>
      <c r="E41" s="37"/>
    </row>
    <row r="42" spans="1:5">
      <c r="A42" s="2" t="s">
        <v>733</v>
      </c>
      <c r="B42" s="47" t="s">
        <v>734</v>
      </c>
      <c r="C42" s="2" t="s">
        <v>735</v>
      </c>
      <c r="D42" s="47" t="s">
        <v>742</v>
      </c>
      <c r="E42" s="37"/>
    </row>
    <row r="43" spans="1:5">
      <c r="A43" s="47"/>
      <c r="B43" s="47"/>
      <c r="C43" s="47"/>
      <c r="D43" s="47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56564-447C-4AC0-9A0C-F03B4328A463}">
  <dimension ref="A1:B78"/>
  <sheetViews>
    <sheetView topLeftCell="A49" workbookViewId="0">
      <selection activeCell="H18" sqref="H18"/>
    </sheetView>
  </sheetViews>
  <sheetFormatPr defaultRowHeight="13.8"/>
  <cols>
    <col min="1" max="1" width="16.796875" customWidth="1"/>
  </cols>
  <sheetData>
    <row r="1" spans="1:2">
      <c r="A1" s="12" t="s">
        <v>57</v>
      </c>
      <c r="B1" s="12" t="s">
        <v>618</v>
      </c>
    </row>
    <row r="2" spans="1:2">
      <c r="A2" t="s">
        <v>58</v>
      </c>
    </row>
    <row r="3" spans="1:2">
      <c r="A3" t="s">
        <v>59</v>
      </c>
    </row>
    <row r="4" spans="1:2">
      <c r="A4" t="s">
        <v>564</v>
      </c>
      <c r="B4">
        <v>15</v>
      </c>
    </row>
    <row r="5" spans="1:2">
      <c r="A5" t="s">
        <v>617</v>
      </c>
      <c r="B5">
        <v>10</v>
      </c>
    </row>
    <row r="6" spans="1:2">
      <c r="A6" t="s">
        <v>619</v>
      </c>
      <c r="B6">
        <v>6</v>
      </c>
    </row>
    <row r="7" spans="1:2">
      <c r="A7" t="s">
        <v>620</v>
      </c>
      <c r="B7" t="s">
        <v>631</v>
      </c>
    </row>
    <row r="8" spans="1:2">
      <c r="A8" t="s">
        <v>621</v>
      </c>
      <c r="B8" t="s">
        <v>626</v>
      </c>
    </row>
    <row r="9" spans="1:2">
      <c r="A9" t="s">
        <v>622</v>
      </c>
      <c r="B9">
        <v>3</v>
      </c>
    </row>
    <row r="10" spans="1:2">
      <c r="A10" t="s">
        <v>623</v>
      </c>
      <c r="B10">
        <v>14</v>
      </c>
    </row>
    <row r="11" spans="1:2">
      <c r="A11" t="s">
        <v>624</v>
      </c>
      <c r="B11">
        <v>10</v>
      </c>
    </row>
    <row r="12" spans="1:2">
      <c r="A12" t="s">
        <v>617</v>
      </c>
      <c r="B12">
        <v>12</v>
      </c>
    </row>
    <row r="13" spans="1:2">
      <c r="A13" t="s">
        <v>625</v>
      </c>
      <c r="B13">
        <v>100</v>
      </c>
    </row>
    <row r="14" spans="1:2">
      <c r="A14" t="s">
        <v>625</v>
      </c>
      <c r="B14">
        <v>20</v>
      </c>
    </row>
    <row r="15" spans="1:2">
      <c r="A15" t="s">
        <v>627</v>
      </c>
      <c r="B15">
        <v>4</v>
      </c>
    </row>
    <row r="16" spans="1:2">
      <c r="A16" t="s">
        <v>628</v>
      </c>
      <c r="B16">
        <v>10</v>
      </c>
    </row>
    <row r="17" spans="1:2">
      <c r="A17" t="s">
        <v>629</v>
      </c>
      <c r="B17">
        <v>12</v>
      </c>
    </row>
    <row r="18" spans="1:2">
      <c r="A18" t="s">
        <v>630</v>
      </c>
      <c r="B18">
        <v>8</v>
      </c>
    </row>
    <row r="19" spans="1:2">
      <c r="A19" t="s">
        <v>629</v>
      </c>
      <c r="B19">
        <v>30</v>
      </c>
    </row>
    <row r="20" spans="1:2">
      <c r="A20" t="s">
        <v>632</v>
      </c>
      <c r="B20">
        <v>15</v>
      </c>
    </row>
    <row r="21" spans="1:2">
      <c r="A21" t="s">
        <v>633</v>
      </c>
      <c r="B21">
        <v>36</v>
      </c>
    </row>
    <row r="22" spans="1:2">
      <c r="A22" t="s">
        <v>634</v>
      </c>
      <c r="B22">
        <v>8</v>
      </c>
    </row>
    <row r="23" spans="1:2">
      <c r="A23" t="s">
        <v>635</v>
      </c>
      <c r="B23">
        <v>8</v>
      </c>
    </row>
    <row r="24" spans="1:2">
      <c r="A24" t="s">
        <v>619</v>
      </c>
      <c r="B24">
        <v>9</v>
      </c>
    </row>
    <row r="25" spans="1:2">
      <c r="A25" t="s">
        <v>617</v>
      </c>
      <c r="B25">
        <v>20</v>
      </c>
    </row>
    <row r="26" spans="1:2">
      <c r="A26" t="s">
        <v>627</v>
      </c>
      <c r="B26">
        <v>6</v>
      </c>
    </row>
    <row r="27" spans="1:2">
      <c r="A27" t="s">
        <v>635</v>
      </c>
      <c r="B27">
        <v>4</v>
      </c>
    </row>
    <row r="28" spans="1:2">
      <c r="A28" t="s">
        <v>622</v>
      </c>
      <c r="B28">
        <v>20</v>
      </c>
    </row>
    <row r="29" spans="1:2">
      <c r="A29" t="s">
        <v>636</v>
      </c>
      <c r="B29">
        <v>8</v>
      </c>
    </row>
    <row r="30" spans="1:2">
      <c r="A30" t="s">
        <v>619</v>
      </c>
      <c r="B30">
        <v>20</v>
      </c>
    </row>
    <row r="31" spans="1:2">
      <c r="A31" t="s">
        <v>637</v>
      </c>
      <c r="B31">
        <v>7</v>
      </c>
    </row>
    <row r="32" spans="1:2">
      <c r="A32" t="s">
        <v>638</v>
      </c>
      <c r="B32">
        <v>20</v>
      </c>
    </row>
    <row r="33" spans="1:2">
      <c r="A33" t="s">
        <v>639</v>
      </c>
      <c r="B33">
        <v>20</v>
      </c>
    </row>
    <row r="34" spans="1:2">
      <c r="A34" t="s">
        <v>640</v>
      </c>
      <c r="B34">
        <v>15</v>
      </c>
    </row>
    <row r="35" spans="1:2">
      <c r="A35" t="s">
        <v>641</v>
      </c>
      <c r="B35">
        <v>8</v>
      </c>
    </row>
    <row r="36" spans="1:2">
      <c r="A36" t="s">
        <v>642</v>
      </c>
      <c r="B36">
        <v>100</v>
      </c>
    </row>
    <row r="37" spans="1:2">
      <c r="A37" t="s">
        <v>638</v>
      </c>
      <c r="B37">
        <v>10</v>
      </c>
    </row>
    <row r="38" spans="1:2">
      <c r="A38" t="s">
        <v>645</v>
      </c>
      <c r="B38" t="s">
        <v>652</v>
      </c>
    </row>
    <row r="39" spans="1:2">
      <c r="A39" t="s">
        <v>646</v>
      </c>
      <c r="B39">
        <v>9</v>
      </c>
    </row>
    <row r="40" spans="1:2">
      <c r="A40" t="s">
        <v>647</v>
      </c>
      <c r="B40">
        <v>200</v>
      </c>
    </row>
    <row r="41" spans="1:2">
      <c r="A41" t="s">
        <v>648</v>
      </c>
      <c r="B41">
        <v>7</v>
      </c>
    </row>
    <row r="42" spans="1:2">
      <c r="A42" t="s">
        <v>649</v>
      </c>
      <c r="B42" t="s">
        <v>651</v>
      </c>
    </row>
    <row r="43" spans="1:2">
      <c r="A43" t="s">
        <v>650</v>
      </c>
      <c r="B43">
        <v>7</v>
      </c>
    </row>
    <row r="44" spans="1:2">
      <c r="A44" t="s">
        <v>648</v>
      </c>
      <c r="B44">
        <v>10</v>
      </c>
    </row>
    <row r="45" spans="1:2">
      <c r="A45" t="s">
        <v>653</v>
      </c>
      <c r="B45">
        <v>30</v>
      </c>
    </row>
    <row r="46" spans="1:2">
      <c r="A46" s="34" t="s">
        <v>658</v>
      </c>
      <c r="B46" s="34">
        <v>45</v>
      </c>
    </row>
    <row r="47" spans="1:2">
      <c r="A47" s="34" t="s">
        <v>659</v>
      </c>
      <c r="B47" s="34">
        <v>6</v>
      </c>
    </row>
    <row r="48" spans="1:2">
      <c r="A48" s="34" t="s">
        <v>660</v>
      </c>
      <c r="B48" s="34">
        <v>44</v>
      </c>
    </row>
    <row r="49" spans="1:2">
      <c r="A49" s="34" t="s">
        <v>661</v>
      </c>
      <c r="B49" s="34">
        <v>45</v>
      </c>
    </row>
    <row r="50" spans="1:2">
      <c r="A50" s="34" t="s">
        <v>662</v>
      </c>
      <c r="B50" s="34">
        <v>118</v>
      </c>
    </row>
    <row r="51" spans="1:2">
      <c r="A51" s="34" t="s">
        <v>663</v>
      </c>
      <c r="B51" s="34">
        <v>7</v>
      </c>
    </row>
    <row r="52" spans="1:2">
      <c r="A52" s="34" t="s">
        <v>664</v>
      </c>
      <c r="B52" s="34">
        <v>100</v>
      </c>
    </row>
    <row r="53" spans="1:2">
      <c r="A53" s="34" t="s">
        <v>665</v>
      </c>
      <c r="B53" s="34">
        <v>18</v>
      </c>
    </row>
    <row r="54" spans="1:2">
      <c r="A54" s="34" t="s">
        <v>666</v>
      </c>
      <c r="B54" s="34">
        <v>32</v>
      </c>
    </row>
    <row r="55" spans="1:2">
      <c r="A55" s="34" t="s">
        <v>667</v>
      </c>
      <c r="B55" s="34">
        <v>22</v>
      </c>
    </row>
    <row r="56" spans="1:2">
      <c r="A56" s="34" t="s">
        <v>668</v>
      </c>
      <c r="B56" s="34">
        <v>18</v>
      </c>
    </row>
    <row r="57" spans="1:2">
      <c r="A57" s="34" t="s">
        <v>669</v>
      </c>
      <c r="B57" s="34">
        <v>18</v>
      </c>
    </row>
    <row r="58" spans="1:2">
      <c r="A58" s="34" t="s">
        <v>670</v>
      </c>
      <c r="B58" s="34">
        <v>7</v>
      </c>
    </row>
    <row r="59" spans="1:2">
      <c r="A59" s="34" t="s">
        <v>671</v>
      </c>
      <c r="B59" s="34">
        <v>13</v>
      </c>
    </row>
    <row r="60" spans="1:2">
      <c r="A60" s="34" t="s">
        <v>672</v>
      </c>
      <c r="B60" s="34">
        <v>17</v>
      </c>
    </row>
    <row r="61" spans="1:2">
      <c r="A61" s="34" t="s">
        <v>673</v>
      </c>
      <c r="B61" s="34">
        <v>20</v>
      </c>
    </row>
    <row r="62" spans="1:2">
      <c r="A62" s="34" t="s">
        <v>674</v>
      </c>
      <c r="B62" s="34">
        <v>8</v>
      </c>
    </row>
    <row r="63" spans="1:2">
      <c r="A63" s="34" t="s">
        <v>675</v>
      </c>
      <c r="B63" s="34">
        <v>2</v>
      </c>
    </row>
    <row r="64" spans="1:2">
      <c r="A64" s="34" t="s">
        <v>676</v>
      </c>
      <c r="B64" s="34">
        <v>30</v>
      </c>
    </row>
    <row r="65" spans="1:2">
      <c r="A65" s="34" t="s">
        <v>677</v>
      </c>
      <c r="B65" s="34">
        <v>18</v>
      </c>
    </row>
    <row r="66" spans="1:2">
      <c r="A66" s="34" t="s">
        <v>678</v>
      </c>
      <c r="B66" s="34">
        <v>78</v>
      </c>
    </row>
    <row r="67" spans="1:2">
      <c r="A67" s="34" t="s">
        <v>679</v>
      </c>
      <c r="B67" s="34">
        <v>10</v>
      </c>
    </row>
    <row r="68" spans="1:2">
      <c r="A68" s="34" t="s">
        <v>680</v>
      </c>
      <c r="B68" s="34">
        <v>12</v>
      </c>
    </row>
    <row r="69" spans="1:2">
      <c r="A69" s="34" t="s">
        <v>681</v>
      </c>
      <c r="B69" s="34">
        <v>14</v>
      </c>
    </row>
    <row r="70" spans="1:2">
      <c r="A70" s="34" t="s">
        <v>682</v>
      </c>
      <c r="B70" s="34">
        <v>1</v>
      </c>
    </row>
    <row r="71" spans="1:2">
      <c r="A71" s="34" t="s">
        <v>683</v>
      </c>
      <c r="B71" s="34">
        <v>47</v>
      </c>
    </row>
    <row r="72" spans="1:2">
      <c r="A72" s="34" t="s">
        <v>684</v>
      </c>
      <c r="B72" s="34">
        <v>25</v>
      </c>
    </row>
    <row r="73" spans="1:2">
      <c r="A73" s="34" t="s">
        <v>685</v>
      </c>
      <c r="B73" s="34">
        <v>21</v>
      </c>
    </row>
    <row r="74" spans="1:2">
      <c r="A74" s="34" t="s">
        <v>686</v>
      </c>
      <c r="B74" s="34">
        <v>7</v>
      </c>
    </row>
    <row r="75" spans="1:2">
      <c r="A75" s="34" t="s">
        <v>687</v>
      </c>
      <c r="B75" s="34">
        <v>31</v>
      </c>
    </row>
    <row r="76" spans="1:2">
      <c r="A76" s="34" t="s">
        <v>688</v>
      </c>
      <c r="B76" s="34">
        <v>33</v>
      </c>
    </row>
    <row r="77" spans="1:2">
      <c r="A77" s="34" t="s">
        <v>967</v>
      </c>
      <c r="B77" s="34">
        <v>2</v>
      </c>
    </row>
    <row r="78" spans="1:2">
      <c r="A78" s="34" t="s">
        <v>968</v>
      </c>
      <c r="B78" s="34">
        <v>10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B4CFE-179B-4419-8073-6DED6B7B165A}">
  <dimension ref="A1:D64"/>
  <sheetViews>
    <sheetView workbookViewId="0">
      <selection activeCell="F16" sqref="F16"/>
    </sheetView>
  </sheetViews>
  <sheetFormatPr defaultRowHeight="13.8"/>
  <cols>
    <col min="1" max="1" width="30.3984375" customWidth="1"/>
    <col min="2" max="2" width="19.09765625" style="33" customWidth="1"/>
    <col min="3" max="3" width="12.3984375" customWidth="1"/>
  </cols>
  <sheetData>
    <row r="1" spans="1:4">
      <c r="A1" s="10" t="s">
        <v>138</v>
      </c>
      <c r="B1" s="32" t="s">
        <v>544</v>
      </c>
      <c r="C1" s="10" t="s">
        <v>542</v>
      </c>
    </row>
    <row r="2" spans="1:4">
      <c r="A2" s="47" t="s">
        <v>139</v>
      </c>
      <c r="B2" s="59" t="s">
        <v>556</v>
      </c>
      <c r="C2" s="47" t="s">
        <v>582</v>
      </c>
      <c r="D2" s="47"/>
    </row>
    <row r="3" spans="1:4">
      <c r="A3" s="47" t="s">
        <v>140</v>
      </c>
      <c r="B3" s="59" t="s">
        <v>581</v>
      </c>
      <c r="C3" s="47">
        <v>20</v>
      </c>
      <c r="D3" s="47"/>
    </row>
    <row r="4" spans="1:4">
      <c r="A4" s="47" t="s">
        <v>141</v>
      </c>
      <c r="B4" s="59"/>
      <c r="C4" s="47">
        <v>0</v>
      </c>
      <c r="D4" s="47"/>
    </row>
    <row r="5" spans="1:4">
      <c r="A5" s="47" t="s">
        <v>142</v>
      </c>
      <c r="B5" s="59" t="s">
        <v>548</v>
      </c>
      <c r="C5" s="47">
        <v>9</v>
      </c>
      <c r="D5" s="47"/>
    </row>
    <row r="6" spans="1:4">
      <c r="A6" s="47" t="s">
        <v>143</v>
      </c>
      <c r="B6" s="59"/>
      <c r="C6" s="47">
        <v>30</v>
      </c>
      <c r="D6" s="47"/>
    </row>
    <row r="7" spans="1:4">
      <c r="A7" s="47" t="s">
        <v>144</v>
      </c>
      <c r="B7" s="59" t="s">
        <v>546</v>
      </c>
      <c r="C7" s="47">
        <v>11</v>
      </c>
      <c r="D7" s="47"/>
    </row>
    <row r="8" spans="1:4">
      <c r="A8" s="47" t="s">
        <v>145</v>
      </c>
      <c r="B8" s="59"/>
      <c r="C8" s="47">
        <v>20</v>
      </c>
      <c r="D8" s="47"/>
    </row>
    <row r="9" spans="1:4">
      <c r="A9" s="47" t="s">
        <v>146</v>
      </c>
      <c r="B9" s="59"/>
      <c r="C9" s="47">
        <v>2</v>
      </c>
      <c r="D9" s="47"/>
    </row>
    <row r="10" spans="1:4">
      <c r="A10" s="47" t="s">
        <v>147</v>
      </c>
      <c r="B10" s="59"/>
      <c r="C10" s="47">
        <v>20</v>
      </c>
      <c r="D10" s="47"/>
    </row>
    <row r="11" spans="1:4">
      <c r="A11" s="47" t="s">
        <v>148</v>
      </c>
      <c r="B11" s="59"/>
      <c r="C11" s="47" t="s">
        <v>583</v>
      </c>
      <c r="D11" s="47"/>
    </row>
    <row r="12" spans="1:4">
      <c r="A12" s="47" t="s">
        <v>149</v>
      </c>
      <c r="B12" s="59"/>
      <c r="C12" s="47">
        <v>2</v>
      </c>
      <c r="D12" s="47"/>
    </row>
    <row r="13" spans="1:4">
      <c r="A13" s="47" t="s">
        <v>150</v>
      </c>
      <c r="B13" s="59"/>
      <c r="C13" s="47">
        <v>5</v>
      </c>
      <c r="D13" s="47"/>
    </row>
    <row r="14" spans="1:4">
      <c r="A14" s="47" t="s">
        <v>153</v>
      </c>
      <c r="B14" s="59"/>
      <c r="C14" s="47">
        <v>4</v>
      </c>
      <c r="D14" s="47"/>
    </row>
    <row r="15" spans="1:4">
      <c r="A15" s="47" t="s">
        <v>151</v>
      </c>
      <c r="B15" s="59"/>
      <c r="C15" s="47">
        <v>40</v>
      </c>
      <c r="D15" s="47"/>
    </row>
    <row r="16" spans="1:4">
      <c r="A16" s="47" t="s">
        <v>152</v>
      </c>
      <c r="B16" s="59"/>
      <c r="C16" s="47">
        <v>9</v>
      </c>
      <c r="D16" s="47"/>
    </row>
    <row r="17" spans="1:4">
      <c r="A17" s="47" t="s">
        <v>543</v>
      </c>
      <c r="B17" s="59" t="s">
        <v>546</v>
      </c>
      <c r="C17" s="47">
        <v>8</v>
      </c>
      <c r="D17" s="47"/>
    </row>
    <row r="18" spans="1:4">
      <c r="A18" s="47" t="s">
        <v>154</v>
      </c>
      <c r="B18" s="59"/>
      <c r="C18" s="47">
        <v>43</v>
      </c>
      <c r="D18" s="47"/>
    </row>
    <row r="19" spans="1:4">
      <c r="A19" s="47" t="s">
        <v>155</v>
      </c>
      <c r="B19" s="59"/>
      <c r="C19" s="47">
        <v>1</v>
      </c>
      <c r="D19" s="47"/>
    </row>
    <row r="20" spans="1:4">
      <c r="A20" s="47" t="s">
        <v>156</v>
      </c>
      <c r="B20" s="59"/>
      <c r="C20" s="47">
        <v>1</v>
      </c>
      <c r="D20" s="47"/>
    </row>
    <row r="21" spans="1:4">
      <c r="A21" s="47" t="s">
        <v>157</v>
      </c>
      <c r="B21" s="59"/>
      <c r="C21" s="47">
        <v>3</v>
      </c>
      <c r="D21" s="47"/>
    </row>
    <row r="22" spans="1:4">
      <c r="A22" s="47" t="s">
        <v>158</v>
      </c>
      <c r="B22" s="59"/>
      <c r="C22" s="47">
        <v>1</v>
      </c>
      <c r="D22" s="47"/>
    </row>
    <row r="23" spans="1:4">
      <c r="A23" s="47" t="s">
        <v>159</v>
      </c>
      <c r="B23" s="59"/>
      <c r="C23" s="47">
        <v>5</v>
      </c>
      <c r="D23" s="47"/>
    </row>
    <row r="24" spans="1:4">
      <c r="A24" s="47" t="s">
        <v>160</v>
      </c>
      <c r="B24" s="59"/>
      <c r="C24" s="47">
        <v>0</v>
      </c>
      <c r="D24" s="47"/>
    </row>
    <row r="25" spans="1:4">
      <c r="A25" s="47" t="s">
        <v>161</v>
      </c>
      <c r="B25" s="59"/>
      <c r="C25" s="47">
        <v>5</v>
      </c>
      <c r="D25" s="47"/>
    </row>
    <row r="26" spans="1:4">
      <c r="A26" s="47" t="s">
        <v>162</v>
      </c>
      <c r="B26" s="59"/>
      <c r="C26" s="47">
        <v>4</v>
      </c>
      <c r="D26" s="47"/>
    </row>
    <row r="27" spans="1:4">
      <c r="A27" s="47" t="s">
        <v>163</v>
      </c>
      <c r="B27" s="59"/>
      <c r="C27" s="47">
        <v>2</v>
      </c>
      <c r="D27" s="47"/>
    </row>
    <row r="28" spans="1:4">
      <c r="A28" s="47" t="s">
        <v>164</v>
      </c>
      <c r="B28" s="59"/>
      <c r="C28" s="47">
        <v>3</v>
      </c>
      <c r="D28" s="47"/>
    </row>
    <row r="29" spans="1:4">
      <c r="A29" s="47" t="s">
        <v>165</v>
      </c>
      <c r="B29" s="59"/>
      <c r="C29" s="47">
        <v>18</v>
      </c>
      <c r="D29" s="47"/>
    </row>
    <row r="30" spans="1:4">
      <c r="A30" s="47" t="s">
        <v>166</v>
      </c>
      <c r="B30" s="59"/>
      <c r="C30" s="47">
        <v>4</v>
      </c>
      <c r="D30" s="47"/>
    </row>
    <row r="31" spans="1:4">
      <c r="A31" s="47" t="s">
        <v>167</v>
      </c>
      <c r="B31" s="59"/>
      <c r="C31" s="47">
        <v>10</v>
      </c>
      <c r="D31" s="47"/>
    </row>
    <row r="32" spans="1:4">
      <c r="A32" s="47" t="s">
        <v>168</v>
      </c>
      <c r="B32" s="59"/>
      <c r="C32" s="47">
        <v>2</v>
      </c>
      <c r="D32" s="47"/>
    </row>
    <row r="33" spans="1:4">
      <c r="A33" s="47" t="s">
        <v>545</v>
      </c>
      <c r="B33" s="59" t="s">
        <v>546</v>
      </c>
      <c r="C33" s="47">
        <v>15</v>
      </c>
      <c r="D33" s="47"/>
    </row>
    <row r="34" spans="1:4">
      <c r="A34" s="47" t="s">
        <v>547</v>
      </c>
      <c r="B34" s="59" t="s">
        <v>548</v>
      </c>
      <c r="C34" s="47">
        <v>3</v>
      </c>
      <c r="D34" s="47"/>
    </row>
    <row r="35" spans="1:4">
      <c r="A35" s="47" t="s">
        <v>549</v>
      </c>
      <c r="B35" s="59" t="s">
        <v>546</v>
      </c>
      <c r="C35" s="47">
        <v>5</v>
      </c>
      <c r="D35" s="47"/>
    </row>
    <row r="36" spans="1:4">
      <c r="A36" s="47" t="s">
        <v>550</v>
      </c>
      <c r="B36" s="59"/>
      <c r="C36" s="47">
        <v>2</v>
      </c>
      <c r="D36" s="47"/>
    </row>
    <row r="37" spans="1:4">
      <c r="A37" s="47" t="s">
        <v>551</v>
      </c>
      <c r="B37" s="59"/>
      <c r="C37" s="47">
        <v>15</v>
      </c>
      <c r="D37" s="47"/>
    </row>
    <row r="38" spans="1:4">
      <c r="A38" s="47" t="s">
        <v>557</v>
      </c>
      <c r="B38" s="59" t="s">
        <v>558</v>
      </c>
      <c r="C38" s="47">
        <v>11</v>
      </c>
      <c r="D38" s="47"/>
    </row>
    <row r="39" spans="1:4">
      <c r="A39" s="47" t="s">
        <v>559</v>
      </c>
      <c r="B39" s="59" t="s">
        <v>558</v>
      </c>
      <c r="C39" s="47">
        <v>3</v>
      </c>
      <c r="D39" s="47"/>
    </row>
    <row r="40" spans="1:4">
      <c r="A40" s="47" t="s">
        <v>595</v>
      </c>
      <c r="B40" s="59"/>
      <c r="C40" s="47">
        <v>5</v>
      </c>
      <c r="D40" s="47"/>
    </row>
    <row r="41" spans="1:4">
      <c r="A41" s="29" t="s">
        <v>596</v>
      </c>
      <c r="B41" s="59"/>
      <c r="C41" s="47">
        <v>5</v>
      </c>
      <c r="D41" s="47"/>
    </row>
    <row r="42" spans="1:4">
      <c r="A42" s="29" t="s">
        <v>597</v>
      </c>
      <c r="B42" s="59"/>
      <c r="C42" s="47">
        <v>120</v>
      </c>
      <c r="D42" s="47"/>
    </row>
    <row r="43" spans="1:4">
      <c r="A43" s="29" t="s">
        <v>598</v>
      </c>
      <c r="B43" s="60"/>
      <c r="C43" s="29">
        <v>41</v>
      </c>
      <c r="D43" s="47"/>
    </row>
    <row r="44" spans="1:4">
      <c r="A44" s="29" t="s">
        <v>599</v>
      </c>
      <c r="B44" s="60"/>
      <c r="C44" s="29">
        <v>1</v>
      </c>
      <c r="D44" s="47"/>
    </row>
    <row r="45" spans="1:4">
      <c r="A45" s="29" t="s">
        <v>600</v>
      </c>
      <c r="B45" s="60"/>
      <c r="C45" s="29">
        <v>4</v>
      </c>
      <c r="D45" s="47"/>
    </row>
    <row r="46" spans="1:4">
      <c r="A46" s="29" t="s">
        <v>601</v>
      </c>
      <c r="B46" s="60"/>
      <c r="C46" s="29">
        <v>18</v>
      </c>
      <c r="D46" s="47"/>
    </row>
    <row r="47" spans="1:4">
      <c r="A47" s="29" t="s">
        <v>602</v>
      </c>
      <c r="B47" s="60" t="s">
        <v>611</v>
      </c>
      <c r="C47" s="29">
        <v>115</v>
      </c>
      <c r="D47" s="47"/>
    </row>
    <row r="48" spans="1:4">
      <c r="A48" s="29" t="s">
        <v>603</v>
      </c>
      <c r="B48" s="60"/>
      <c r="C48" s="29">
        <v>2</v>
      </c>
      <c r="D48" s="47"/>
    </row>
    <row r="49" spans="1:4">
      <c r="A49" s="29" t="s">
        <v>604</v>
      </c>
      <c r="B49" s="60"/>
      <c r="C49" s="29">
        <v>20</v>
      </c>
      <c r="D49" s="47"/>
    </row>
    <row r="50" spans="1:4">
      <c r="A50" s="29" t="s">
        <v>605</v>
      </c>
      <c r="B50" s="60"/>
      <c r="C50" s="29">
        <v>24</v>
      </c>
      <c r="D50" s="47"/>
    </row>
    <row r="51" spans="1:4">
      <c r="A51" s="29" t="s">
        <v>606</v>
      </c>
      <c r="B51" s="60"/>
      <c r="C51" s="29">
        <v>15</v>
      </c>
      <c r="D51" s="47"/>
    </row>
    <row r="52" spans="1:4">
      <c r="A52" s="29" t="s">
        <v>607</v>
      </c>
      <c r="B52" s="60"/>
      <c r="C52" s="29">
        <v>18</v>
      </c>
      <c r="D52" s="47"/>
    </row>
    <row r="53" spans="1:4">
      <c r="A53" s="29" t="s">
        <v>608</v>
      </c>
      <c r="B53" s="60"/>
      <c r="C53" s="29">
        <v>20</v>
      </c>
      <c r="D53" s="47"/>
    </row>
    <row r="54" spans="1:4">
      <c r="A54" s="29" t="s">
        <v>609</v>
      </c>
      <c r="B54" s="60"/>
      <c r="C54" s="29">
        <v>16</v>
      </c>
      <c r="D54" s="47"/>
    </row>
    <row r="55" spans="1:4">
      <c r="A55" s="29" t="s">
        <v>610</v>
      </c>
      <c r="B55" s="60"/>
      <c r="C55" s="29">
        <v>10</v>
      </c>
      <c r="D55" s="47"/>
    </row>
    <row r="56" spans="1:4">
      <c r="A56" s="29" t="s">
        <v>551</v>
      </c>
      <c r="B56" s="59"/>
      <c r="C56" s="29">
        <v>50</v>
      </c>
      <c r="D56" s="47"/>
    </row>
    <row r="57" spans="1:4">
      <c r="A57" s="60" t="s">
        <v>654</v>
      </c>
      <c r="B57" s="59"/>
      <c r="C57" s="60" t="s">
        <v>655</v>
      </c>
      <c r="D57" s="47"/>
    </row>
    <row r="58" spans="1:4">
      <c r="A58" s="60" t="s">
        <v>143</v>
      </c>
      <c r="B58" s="59"/>
      <c r="C58" s="60">
        <v>3</v>
      </c>
      <c r="D58" s="47"/>
    </row>
    <row r="59" spans="1:4">
      <c r="A59" s="60" t="s">
        <v>656</v>
      </c>
      <c r="B59" s="59"/>
      <c r="C59" s="60">
        <v>10</v>
      </c>
      <c r="D59" s="47"/>
    </row>
    <row r="60" spans="1:4">
      <c r="A60" s="60" t="s">
        <v>545</v>
      </c>
      <c r="B60" s="59"/>
      <c r="C60" s="60">
        <v>20</v>
      </c>
      <c r="D60" s="47"/>
    </row>
    <row r="61" spans="1:4">
      <c r="A61" s="60" t="s">
        <v>547</v>
      </c>
      <c r="B61" s="59"/>
      <c r="C61" s="60">
        <v>3</v>
      </c>
      <c r="D61" s="47"/>
    </row>
    <row r="62" spans="1:4">
      <c r="A62" s="60" t="s">
        <v>142</v>
      </c>
      <c r="B62" s="59"/>
      <c r="C62" s="60">
        <v>15</v>
      </c>
      <c r="D62" s="47"/>
    </row>
    <row r="63" spans="1:4">
      <c r="A63" s="60" t="s">
        <v>657</v>
      </c>
      <c r="B63" s="59"/>
      <c r="C63" s="60">
        <v>6</v>
      </c>
      <c r="D63" s="47"/>
    </row>
    <row r="64" spans="1:4">
      <c r="A64" s="47"/>
      <c r="B64" s="59"/>
      <c r="C64" s="47"/>
      <c r="D64" s="47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BCDA1-5AE1-46DD-8299-631E93011E4D}">
  <dimension ref="A1:C30"/>
  <sheetViews>
    <sheetView workbookViewId="0">
      <selection activeCell="H18" sqref="H18"/>
    </sheetView>
  </sheetViews>
  <sheetFormatPr defaultRowHeight="13.8"/>
  <cols>
    <col min="1" max="1" width="24.19921875" customWidth="1"/>
    <col min="2" max="2" width="15.09765625" customWidth="1"/>
    <col min="3" max="3" width="16.59765625" customWidth="1"/>
  </cols>
  <sheetData>
    <row r="1" spans="1:3">
      <c r="A1" s="11" t="s">
        <v>36</v>
      </c>
      <c r="B1" s="11" t="s">
        <v>544</v>
      </c>
      <c r="C1" s="31" t="s">
        <v>612</v>
      </c>
    </row>
    <row r="2" spans="1:3">
      <c r="A2" t="s">
        <v>37</v>
      </c>
      <c r="C2">
        <v>5</v>
      </c>
    </row>
    <row r="3" spans="1:3">
      <c r="A3" t="s">
        <v>38</v>
      </c>
      <c r="C3">
        <v>5</v>
      </c>
    </row>
    <row r="4" spans="1:3">
      <c r="A4" t="s">
        <v>39</v>
      </c>
      <c r="C4">
        <v>5</v>
      </c>
    </row>
    <row r="5" spans="1:3">
      <c r="A5" t="s">
        <v>40</v>
      </c>
      <c r="C5">
        <v>5</v>
      </c>
    </row>
    <row r="6" spans="1:3">
      <c r="A6" t="s">
        <v>41</v>
      </c>
      <c r="C6">
        <v>5</v>
      </c>
    </row>
    <row r="7" spans="1:3">
      <c r="A7" t="s">
        <v>42</v>
      </c>
      <c r="C7">
        <v>5</v>
      </c>
    </row>
    <row r="8" spans="1:3">
      <c r="A8" t="s">
        <v>43</v>
      </c>
      <c r="C8">
        <v>5</v>
      </c>
    </row>
    <row r="9" spans="1:3">
      <c r="A9" t="s">
        <v>44</v>
      </c>
      <c r="C9">
        <v>5</v>
      </c>
    </row>
    <row r="10" spans="1:3">
      <c r="A10" t="s">
        <v>75</v>
      </c>
    </row>
    <row r="11" spans="1:3">
      <c r="A11" t="s">
        <v>555</v>
      </c>
      <c r="B11" t="s">
        <v>563</v>
      </c>
      <c r="C11">
        <v>30</v>
      </c>
    </row>
    <row r="12" spans="1:3">
      <c r="A12" t="s">
        <v>560</v>
      </c>
      <c r="B12" t="s">
        <v>563</v>
      </c>
      <c r="C12">
        <v>9</v>
      </c>
    </row>
    <row r="13" spans="1:3">
      <c r="A13" t="s">
        <v>561</v>
      </c>
      <c r="B13" t="s">
        <v>563</v>
      </c>
      <c r="C13">
        <v>15</v>
      </c>
    </row>
    <row r="14" spans="1:3">
      <c r="A14" t="s">
        <v>562</v>
      </c>
      <c r="B14" t="s">
        <v>563</v>
      </c>
      <c r="C14">
        <v>20</v>
      </c>
    </row>
    <row r="15" spans="1:3">
      <c r="A15" t="s">
        <v>565</v>
      </c>
      <c r="B15" t="s">
        <v>546</v>
      </c>
      <c r="C15">
        <v>7</v>
      </c>
    </row>
    <row r="16" spans="1:3">
      <c r="A16" t="s">
        <v>566</v>
      </c>
      <c r="B16" t="s">
        <v>546</v>
      </c>
      <c r="C16">
        <v>15</v>
      </c>
    </row>
    <row r="17" spans="1:3">
      <c r="A17" t="s">
        <v>566</v>
      </c>
      <c r="B17" t="s">
        <v>546</v>
      </c>
      <c r="C17">
        <v>15</v>
      </c>
    </row>
    <row r="18" spans="1:3">
      <c r="A18" t="s">
        <v>567</v>
      </c>
      <c r="B18" t="s">
        <v>563</v>
      </c>
      <c r="C18">
        <v>30</v>
      </c>
    </row>
    <row r="19" spans="1:3">
      <c r="A19" t="s">
        <v>570</v>
      </c>
      <c r="B19" t="s">
        <v>546</v>
      </c>
      <c r="C19">
        <v>15</v>
      </c>
    </row>
    <row r="20" spans="1:3">
      <c r="A20" t="s">
        <v>565</v>
      </c>
      <c r="B20" t="s">
        <v>546</v>
      </c>
      <c r="C20">
        <v>150</v>
      </c>
    </row>
    <row r="21" spans="1:3">
      <c r="A21" t="s">
        <v>571</v>
      </c>
      <c r="B21" t="s">
        <v>563</v>
      </c>
      <c r="C21">
        <v>10</v>
      </c>
    </row>
    <row r="22" spans="1:3">
      <c r="A22" t="s">
        <v>572</v>
      </c>
      <c r="C22">
        <v>2</v>
      </c>
    </row>
    <row r="23" spans="1:3">
      <c r="A23" t="s">
        <v>567</v>
      </c>
      <c r="B23" t="s">
        <v>546</v>
      </c>
      <c r="C23">
        <v>15</v>
      </c>
    </row>
    <row r="24" spans="1:3">
      <c r="A24" s="7" t="s">
        <v>585</v>
      </c>
      <c r="B24" s="7" t="s">
        <v>586</v>
      </c>
      <c r="C24" s="7">
        <v>3</v>
      </c>
    </row>
    <row r="25" spans="1:3">
      <c r="A25" s="7" t="s">
        <v>587</v>
      </c>
      <c r="B25" s="7" t="s">
        <v>586</v>
      </c>
      <c r="C25" s="7">
        <v>4</v>
      </c>
    </row>
    <row r="26" spans="1:3">
      <c r="A26" s="7" t="s">
        <v>588</v>
      </c>
      <c r="B26" s="7" t="s">
        <v>589</v>
      </c>
      <c r="C26" s="7">
        <v>54</v>
      </c>
    </row>
    <row r="27" spans="1:3">
      <c r="A27" s="7" t="s">
        <v>590</v>
      </c>
      <c r="B27" s="7" t="s">
        <v>586</v>
      </c>
      <c r="C27" s="7">
        <v>20</v>
      </c>
    </row>
    <row r="28" spans="1:3">
      <c r="A28" s="7" t="s">
        <v>591</v>
      </c>
      <c r="B28" s="7" t="s">
        <v>586</v>
      </c>
      <c r="C28" s="7">
        <v>6</v>
      </c>
    </row>
    <row r="29" spans="1:3">
      <c r="A29" s="7" t="s">
        <v>592</v>
      </c>
      <c r="B29" s="7" t="s">
        <v>593</v>
      </c>
      <c r="C29" s="7">
        <v>14</v>
      </c>
    </row>
    <row r="30" spans="1:3">
      <c r="A30" s="7" t="s">
        <v>594</v>
      </c>
      <c r="B30" s="7" t="s">
        <v>586</v>
      </c>
      <c r="C30" s="7">
        <v>15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7E50B-1E42-4EBB-A787-8899DC26A882}">
  <dimension ref="A1:C29"/>
  <sheetViews>
    <sheetView workbookViewId="0">
      <selection activeCell="H27" sqref="H27"/>
    </sheetView>
  </sheetViews>
  <sheetFormatPr defaultRowHeight="13.8"/>
  <cols>
    <col min="1" max="1" width="18.296875" customWidth="1"/>
    <col min="2" max="2" width="11.59765625" customWidth="1"/>
    <col min="3" max="3" width="9.3984375" customWidth="1"/>
  </cols>
  <sheetData>
    <row r="1" spans="1:3">
      <c r="A1" s="30" t="s">
        <v>613</v>
      </c>
      <c r="B1" s="10" t="s">
        <v>544</v>
      </c>
      <c r="C1" s="10" t="s">
        <v>612</v>
      </c>
    </row>
    <row r="2" spans="1:3">
      <c r="A2" s="17" t="s">
        <v>568</v>
      </c>
      <c r="B2" t="s">
        <v>563</v>
      </c>
      <c r="C2">
        <v>10</v>
      </c>
    </row>
    <row r="3" spans="1:3">
      <c r="A3" s="17" t="s">
        <v>569</v>
      </c>
      <c r="B3" t="s">
        <v>563</v>
      </c>
      <c r="C3">
        <v>10</v>
      </c>
    </row>
    <row r="4" spans="1:3">
      <c r="A4" s="17" t="s">
        <v>573</v>
      </c>
      <c r="C4">
        <v>2</v>
      </c>
    </row>
    <row r="5" spans="1:3">
      <c r="A5" s="17" t="s">
        <v>574</v>
      </c>
      <c r="B5" t="s">
        <v>546</v>
      </c>
      <c r="C5">
        <v>10</v>
      </c>
    </row>
    <row r="6" spans="1:3">
      <c r="A6" s="17" t="s">
        <v>575</v>
      </c>
      <c r="B6" t="s">
        <v>563</v>
      </c>
      <c r="C6">
        <v>20</v>
      </c>
    </row>
    <row r="7" spans="1:3">
      <c r="A7" s="17" t="s">
        <v>576</v>
      </c>
      <c r="B7" t="s">
        <v>546</v>
      </c>
      <c r="C7">
        <v>10</v>
      </c>
    </row>
    <row r="8" spans="1:3">
      <c r="A8" s="17" t="s">
        <v>577</v>
      </c>
      <c r="B8" t="s">
        <v>578</v>
      </c>
      <c r="C8">
        <v>60</v>
      </c>
    </row>
    <row r="9" spans="1:3">
      <c r="A9" s="15" t="s">
        <v>579</v>
      </c>
      <c r="B9" t="s">
        <v>578</v>
      </c>
      <c r="C9">
        <v>15</v>
      </c>
    </row>
    <row r="10" spans="1:3">
      <c r="A10" s="17" t="s">
        <v>580</v>
      </c>
      <c r="C10">
        <v>3</v>
      </c>
    </row>
    <row r="11" spans="1:3">
      <c r="A11" s="25" t="s">
        <v>643</v>
      </c>
      <c r="C11">
        <v>28</v>
      </c>
    </row>
    <row r="12" spans="1:3">
      <c r="A12" s="25" t="s">
        <v>644</v>
      </c>
      <c r="C12">
        <v>7</v>
      </c>
    </row>
    <row r="13" spans="1:3">
      <c r="A13" s="40" t="s">
        <v>861</v>
      </c>
      <c r="B13" t="s">
        <v>546</v>
      </c>
      <c r="C13">
        <v>1</v>
      </c>
    </row>
    <row r="14" spans="1:3">
      <c r="A14" s="40" t="s">
        <v>862</v>
      </c>
      <c r="B14" s="38" t="s">
        <v>546</v>
      </c>
      <c r="C14">
        <v>20</v>
      </c>
    </row>
    <row r="15" spans="1:3">
      <c r="A15" s="40" t="s">
        <v>861</v>
      </c>
      <c r="B15" s="38" t="s">
        <v>563</v>
      </c>
      <c r="C15">
        <v>100</v>
      </c>
    </row>
    <row r="16" spans="1:3">
      <c r="A16" s="40" t="s">
        <v>863</v>
      </c>
      <c r="B16" s="38" t="s">
        <v>546</v>
      </c>
      <c r="C16">
        <v>30</v>
      </c>
    </row>
    <row r="17" spans="1:3">
      <c r="A17" s="40" t="s">
        <v>864</v>
      </c>
      <c r="B17" s="38" t="s">
        <v>546</v>
      </c>
      <c r="C17">
        <v>20</v>
      </c>
    </row>
    <row r="18" spans="1:3">
      <c r="A18" s="40" t="s">
        <v>865</v>
      </c>
      <c r="B18" s="38" t="s">
        <v>546</v>
      </c>
      <c r="C18">
        <v>10</v>
      </c>
    </row>
    <row r="19" spans="1:3">
      <c r="A19" s="40" t="s">
        <v>425</v>
      </c>
      <c r="B19" s="38" t="s">
        <v>546</v>
      </c>
      <c r="C19">
        <v>3</v>
      </c>
    </row>
    <row r="20" spans="1:3">
      <c r="A20" s="40" t="s">
        <v>867</v>
      </c>
      <c r="B20" s="38" t="s">
        <v>563</v>
      </c>
      <c r="C20">
        <v>20</v>
      </c>
    </row>
    <row r="21" spans="1:3">
      <c r="A21" s="48" t="s">
        <v>959</v>
      </c>
      <c r="B21" s="38" t="s">
        <v>546</v>
      </c>
      <c r="C21" s="34">
        <v>20</v>
      </c>
    </row>
    <row r="22" spans="1:3">
      <c r="A22" s="48" t="s">
        <v>960</v>
      </c>
      <c r="B22" s="38" t="s">
        <v>546</v>
      </c>
      <c r="C22" s="34">
        <v>35</v>
      </c>
    </row>
    <row r="23" spans="1:3">
      <c r="A23" s="48" t="s">
        <v>961</v>
      </c>
      <c r="B23" s="38" t="s">
        <v>546</v>
      </c>
      <c r="C23" s="34">
        <v>50</v>
      </c>
    </row>
    <row r="24" spans="1:3">
      <c r="A24" s="48" t="s">
        <v>962</v>
      </c>
      <c r="B24" s="38" t="s">
        <v>546</v>
      </c>
      <c r="C24" s="34">
        <v>50</v>
      </c>
    </row>
    <row r="25" spans="1:3">
      <c r="A25" s="48" t="s">
        <v>963</v>
      </c>
      <c r="B25" s="38" t="s">
        <v>546</v>
      </c>
      <c r="C25" s="34">
        <v>23</v>
      </c>
    </row>
    <row r="26" spans="1:3">
      <c r="A26" s="48" t="s">
        <v>964</v>
      </c>
      <c r="B26" s="38" t="s">
        <v>546</v>
      </c>
      <c r="C26" s="34">
        <v>30</v>
      </c>
    </row>
    <row r="27" spans="1:3">
      <c r="A27" s="48" t="s">
        <v>963</v>
      </c>
      <c r="B27" s="38" t="s">
        <v>546</v>
      </c>
      <c r="C27" s="34">
        <v>30</v>
      </c>
    </row>
    <row r="28" spans="1:3">
      <c r="A28" s="48" t="s">
        <v>962</v>
      </c>
      <c r="B28" s="38" t="s">
        <v>546</v>
      </c>
      <c r="C28" s="34">
        <v>20</v>
      </c>
    </row>
    <row r="29" spans="1:3">
      <c r="A29" s="48" t="s">
        <v>965</v>
      </c>
      <c r="B29" s="38" t="s">
        <v>546</v>
      </c>
      <c r="C29" s="34">
        <v>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5E7D1-EBA3-4945-AE5D-FEFA9B445C82}">
  <dimension ref="A1:B79"/>
  <sheetViews>
    <sheetView workbookViewId="0">
      <selection sqref="A1:B79"/>
    </sheetView>
  </sheetViews>
  <sheetFormatPr defaultRowHeight="13.8"/>
  <cols>
    <col min="1" max="1" width="42" customWidth="1"/>
  </cols>
  <sheetData>
    <row r="1" spans="1:2">
      <c r="A1" s="13" t="s">
        <v>17</v>
      </c>
      <c r="B1" t="s">
        <v>615</v>
      </c>
    </row>
    <row r="2" spans="1:2">
      <c r="A2" t="s">
        <v>18</v>
      </c>
    </row>
    <row r="3" spans="1:2">
      <c r="A3" t="s">
        <v>19</v>
      </c>
    </row>
    <row r="4" spans="1:2">
      <c r="A4" t="s">
        <v>20</v>
      </c>
    </row>
    <row r="5" spans="1:2">
      <c r="A5" t="s">
        <v>21</v>
      </c>
    </row>
    <row r="6" spans="1:2">
      <c r="A6" t="s">
        <v>22</v>
      </c>
    </row>
    <row r="7" spans="1:2">
      <c r="A7" t="s">
        <v>24</v>
      </c>
    </row>
    <row r="8" spans="1:2">
      <c r="A8" t="s">
        <v>25</v>
      </c>
    </row>
    <row r="9" spans="1:2">
      <c r="A9" t="s">
        <v>26</v>
      </c>
    </row>
    <row r="10" spans="1:2">
      <c r="A10" t="s">
        <v>66</v>
      </c>
    </row>
    <row r="11" spans="1:2">
      <c r="A11" t="s">
        <v>67</v>
      </c>
    </row>
    <row r="12" spans="1:2">
      <c r="A12" t="s">
        <v>68</v>
      </c>
    </row>
    <row r="13" spans="1:2">
      <c r="A13" t="s">
        <v>73</v>
      </c>
    </row>
    <row r="14" spans="1:2">
      <c r="A14" t="s">
        <v>77</v>
      </c>
    </row>
    <row r="15" spans="1:2">
      <c r="A15" t="s">
        <v>18</v>
      </c>
    </row>
    <row r="16" spans="1:2">
      <c r="A16" t="s">
        <v>78</v>
      </c>
    </row>
    <row r="17" spans="1:1">
      <c r="A17" t="s">
        <v>79</v>
      </c>
    </row>
    <row r="18" spans="1:1">
      <c r="A18" t="s">
        <v>80</v>
      </c>
    </row>
    <row r="19" spans="1:1">
      <c r="A19" t="s">
        <v>81</v>
      </c>
    </row>
    <row r="20" spans="1:1">
      <c r="A20" t="s">
        <v>97</v>
      </c>
    </row>
    <row r="21" spans="1:1">
      <c r="A21" t="s">
        <v>82</v>
      </c>
    </row>
    <row r="22" spans="1:1">
      <c r="A22" t="s">
        <v>83</v>
      </c>
    </row>
    <row r="23" spans="1:1">
      <c r="A23" t="s">
        <v>84</v>
      </c>
    </row>
    <row r="24" spans="1:1">
      <c r="A24" t="s">
        <v>85</v>
      </c>
    </row>
    <row r="25" spans="1:1">
      <c r="A25" t="s">
        <v>86</v>
      </c>
    </row>
    <row r="26" spans="1:1">
      <c r="A26" t="s">
        <v>87</v>
      </c>
    </row>
    <row r="27" spans="1:1">
      <c r="A27" t="s">
        <v>88</v>
      </c>
    </row>
    <row r="28" spans="1:1">
      <c r="A28" t="s">
        <v>89</v>
      </c>
    </row>
    <row r="29" spans="1:1">
      <c r="A29" t="s">
        <v>90</v>
      </c>
    </row>
    <row r="30" spans="1:1">
      <c r="A30" t="s">
        <v>91</v>
      </c>
    </row>
    <row r="31" spans="1:1">
      <c r="A31" t="s">
        <v>92</v>
      </c>
    </row>
    <row r="32" spans="1:1">
      <c r="A32" t="s">
        <v>94</v>
      </c>
    </row>
    <row r="33" spans="1:1">
      <c r="A33" t="s">
        <v>93</v>
      </c>
    </row>
    <row r="34" spans="1:1">
      <c r="A34" t="s">
        <v>95</v>
      </c>
    </row>
    <row r="35" spans="1:1">
      <c r="A35" t="s">
        <v>96</v>
      </c>
    </row>
    <row r="36" spans="1:1">
      <c r="A36" t="s">
        <v>98</v>
      </c>
    </row>
    <row r="37" spans="1:1">
      <c r="A37" t="s">
        <v>99</v>
      </c>
    </row>
    <row r="38" spans="1:1">
      <c r="A38" t="s">
        <v>100</v>
      </c>
    </row>
    <row r="39" spans="1:1">
      <c r="A39" t="s">
        <v>101</v>
      </c>
    </row>
    <row r="40" spans="1:1">
      <c r="A40" t="s">
        <v>102</v>
      </c>
    </row>
    <row r="41" spans="1:1">
      <c r="A41" t="s">
        <v>103</v>
      </c>
    </row>
    <row r="42" spans="1:1">
      <c r="A42" t="s">
        <v>104</v>
      </c>
    </row>
    <row r="43" spans="1:1">
      <c r="A43" t="s">
        <v>105</v>
      </c>
    </row>
    <row r="44" spans="1:1">
      <c r="A44" t="s">
        <v>106</v>
      </c>
    </row>
    <row r="45" spans="1:1">
      <c r="A45" t="s">
        <v>107</v>
      </c>
    </row>
    <row r="46" spans="1:1">
      <c r="A46" t="s">
        <v>108</v>
      </c>
    </row>
    <row r="47" spans="1:1">
      <c r="A47" t="s">
        <v>109</v>
      </c>
    </row>
    <row r="48" spans="1:1">
      <c r="A48" t="s">
        <v>110</v>
      </c>
    </row>
    <row r="49" spans="1:1">
      <c r="A49" t="s">
        <v>111</v>
      </c>
    </row>
    <row r="50" spans="1:1">
      <c r="A50" t="s">
        <v>112</v>
      </c>
    </row>
    <row r="51" spans="1:1">
      <c r="A51" t="s">
        <v>113</v>
      </c>
    </row>
    <row r="52" spans="1:1">
      <c r="A52" t="s">
        <v>114</v>
      </c>
    </row>
    <row r="53" spans="1:1">
      <c r="A53" t="s">
        <v>115</v>
      </c>
    </row>
    <row r="54" spans="1:1">
      <c r="A54" t="s">
        <v>116</v>
      </c>
    </row>
    <row r="55" spans="1:1">
      <c r="A55" t="s">
        <v>117</v>
      </c>
    </row>
    <row r="56" spans="1:1">
      <c r="A56" t="s">
        <v>118</v>
      </c>
    </row>
    <row r="57" spans="1:1">
      <c r="A57" t="s">
        <v>119</v>
      </c>
    </row>
    <row r="58" spans="1:1">
      <c r="A58" t="s">
        <v>120</v>
      </c>
    </row>
    <row r="59" spans="1:1">
      <c r="A59" t="s">
        <v>121</v>
      </c>
    </row>
    <row r="60" spans="1:1">
      <c r="A60" t="s">
        <v>122</v>
      </c>
    </row>
    <row r="61" spans="1:1">
      <c r="A61" t="s">
        <v>119</v>
      </c>
    </row>
    <row r="62" spans="1:1">
      <c r="A62" t="s">
        <v>123</v>
      </c>
    </row>
    <row r="63" spans="1:1">
      <c r="A63" t="s">
        <v>124</v>
      </c>
    </row>
    <row r="64" spans="1:1">
      <c r="A64" t="s">
        <v>125</v>
      </c>
    </row>
    <row r="65" spans="1:2">
      <c r="A65" t="s">
        <v>126</v>
      </c>
    </row>
    <row r="66" spans="1:2">
      <c r="A66" t="s">
        <v>127</v>
      </c>
    </row>
    <row r="67" spans="1:2">
      <c r="A67" t="s">
        <v>128</v>
      </c>
    </row>
    <row r="68" spans="1:2">
      <c r="A68" t="s">
        <v>129</v>
      </c>
    </row>
    <row r="69" spans="1:2">
      <c r="A69" t="s">
        <v>130</v>
      </c>
    </row>
    <row r="70" spans="1:2">
      <c r="A70" t="s">
        <v>131</v>
      </c>
    </row>
    <row r="71" spans="1:2">
      <c r="A71" t="s">
        <v>132</v>
      </c>
    </row>
    <row r="72" spans="1:2">
      <c r="A72" t="s">
        <v>108</v>
      </c>
    </row>
    <row r="73" spans="1:2">
      <c r="A73" t="s">
        <v>133</v>
      </c>
    </row>
    <row r="74" spans="1:2">
      <c r="A74" t="s">
        <v>134</v>
      </c>
    </row>
    <row r="75" spans="1:2">
      <c r="A75" t="s">
        <v>135</v>
      </c>
    </row>
    <row r="76" spans="1:2">
      <c r="A76" t="s">
        <v>136</v>
      </c>
    </row>
    <row r="77" spans="1:2">
      <c r="A77" t="s">
        <v>137</v>
      </c>
    </row>
    <row r="78" spans="1:2">
      <c r="A78" t="s">
        <v>363</v>
      </c>
    </row>
    <row r="79" spans="1:2">
      <c r="A79" t="s">
        <v>584</v>
      </c>
      <c r="B79">
        <v>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A23DA-F5E1-44EF-93B2-181B21C75C04}">
  <dimension ref="A1:B22"/>
  <sheetViews>
    <sheetView workbookViewId="0">
      <selection activeCell="E19" sqref="E19"/>
    </sheetView>
  </sheetViews>
  <sheetFormatPr defaultRowHeight="13.8"/>
  <cols>
    <col min="1" max="1" width="15.296875" customWidth="1"/>
    <col min="2" max="2" width="28.69921875" customWidth="1"/>
  </cols>
  <sheetData>
    <row r="1" spans="1:2">
      <c r="A1" s="51" t="s">
        <v>0</v>
      </c>
      <c r="B1" s="51"/>
    </row>
    <row r="2" spans="1:2">
      <c r="A2" s="4" t="s">
        <v>169</v>
      </c>
      <c r="B2" s="4" t="s">
        <v>187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10</v>
      </c>
    </row>
    <row r="7" spans="1:2">
      <c r="B7" t="s">
        <v>11</v>
      </c>
    </row>
    <row r="8" spans="1:2">
      <c r="B8" t="s">
        <v>53</v>
      </c>
    </row>
    <row r="9" spans="1:2">
      <c r="B9" t="s">
        <v>54</v>
      </c>
    </row>
    <row r="10" spans="1:2">
      <c r="B10" t="s">
        <v>60</v>
      </c>
    </row>
    <row r="11" spans="1:2">
      <c r="B11" t="s">
        <v>76</v>
      </c>
    </row>
    <row r="12" spans="1:2">
      <c r="A12" t="s">
        <v>190</v>
      </c>
      <c r="B12" t="s">
        <v>189</v>
      </c>
    </row>
    <row r="13" spans="1:2">
      <c r="A13" t="s">
        <v>191</v>
      </c>
      <c r="B13" t="s">
        <v>192</v>
      </c>
    </row>
    <row r="14" spans="1:2">
      <c r="A14" t="s">
        <v>193</v>
      </c>
      <c r="B14" t="s">
        <v>194</v>
      </c>
    </row>
    <row r="15" spans="1:2">
      <c r="A15" t="s">
        <v>195</v>
      </c>
      <c r="B15" t="s">
        <v>196</v>
      </c>
    </row>
    <row r="16" spans="1:2">
      <c r="A16" t="s">
        <v>197</v>
      </c>
      <c r="B16" t="s">
        <v>198</v>
      </c>
    </row>
    <row r="17" spans="1:2">
      <c r="A17" t="s">
        <v>199</v>
      </c>
      <c r="B17" t="s">
        <v>200</v>
      </c>
    </row>
    <row r="18" spans="1:2">
      <c r="A18" t="s">
        <v>201</v>
      </c>
      <c r="B18" t="s">
        <v>202</v>
      </c>
    </row>
    <row r="19" spans="1:2">
      <c r="A19" s="1" t="s">
        <v>204</v>
      </c>
      <c r="B19" t="s">
        <v>203</v>
      </c>
    </row>
    <row r="20" spans="1:2">
      <c r="A20" t="s">
        <v>205</v>
      </c>
      <c r="B20" t="s">
        <v>206</v>
      </c>
    </row>
    <row r="21" spans="1:2">
      <c r="B21" t="s">
        <v>7</v>
      </c>
    </row>
    <row r="22" spans="1:2">
      <c r="B22" t="s">
        <v>62</v>
      </c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EA0BB-099E-4F80-94D0-9142D069056A}">
  <dimension ref="A1:A3"/>
  <sheetViews>
    <sheetView workbookViewId="0">
      <selection activeCell="H20" sqref="H20"/>
    </sheetView>
  </sheetViews>
  <sheetFormatPr defaultRowHeight="13.8"/>
  <cols>
    <col min="1" max="1" width="22.09765625" customWidth="1"/>
  </cols>
  <sheetData>
    <row r="1" spans="1:1">
      <c r="A1" s="14" t="s">
        <v>70</v>
      </c>
    </row>
    <row r="2" spans="1:1">
      <c r="A2" t="s">
        <v>71</v>
      </c>
    </row>
    <row r="3" spans="1:1">
      <c r="A3" t="s">
        <v>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239A7-7494-4D00-978E-2DEF8B8010CB}">
  <dimension ref="A1:B15"/>
  <sheetViews>
    <sheetView workbookViewId="0">
      <selection activeCell="B24" sqref="B24"/>
    </sheetView>
  </sheetViews>
  <sheetFormatPr defaultRowHeight="13.8"/>
  <cols>
    <col min="1" max="1" width="23.796875" customWidth="1"/>
  </cols>
  <sheetData>
    <row r="1" spans="1:2">
      <c r="A1" s="9" t="s">
        <v>424</v>
      </c>
    </row>
    <row r="2" spans="1:2">
      <c r="A2" s="7" t="s">
        <v>425</v>
      </c>
    </row>
    <row r="3" spans="1:2">
      <c r="A3" s="7" t="s">
        <v>426</v>
      </c>
    </row>
    <row r="4" spans="1:2">
      <c r="A4" s="7" t="s">
        <v>427</v>
      </c>
    </row>
    <row r="5" spans="1:2">
      <c r="A5" s="7" t="s">
        <v>428</v>
      </c>
    </row>
    <row r="6" spans="1:2">
      <c r="A6" s="7" t="s">
        <v>429</v>
      </c>
    </row>
    <row r="7" spans="1:2">
      <c r="A7" s="7" t="s">
        <v>430</v>
      </c>
    </row>
    <row r="8" spans="1:2">
      <c r="A8" s="7" t="s">
        <v>427</v>
      </c>
    </row>
    <row r="9" spans="1:2">
      <c r="A9" s="7" t="s">
        <v>431</v>
      </c>
    </row>
    <row r="10" spans="1:2">
      <c r="A10" s="7" t="s">
        <v>432</v>
      </c>
    </row>
    <row r="11" spans="1:2">
      <c r="A11" s="7" t="s">
        <v>425</v>
      </c>
    </row>
    <row r="12" spans="1:2">
      <c r="A12" s="7" t="s">
        <v>433</v>
      </c>
    </row>
    <row r="13" spans="1:2">
      <c r="A13" s="7" t="s">
        <v>425</v>
      </c>
    </row>
    <row r="14" spans="1:2">
      <c r="A14" s="7" t="s">
        <v>434</v>
      </c>
    </row>
    <row r="15" spans="1:2">
      <c r="A15" s="48" t="s">
        <v>966</v>
      </c>
      <c r="B15" s="34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0893C-FD5A-4DED-A009-611DA139B235}">
  <dimension ref="A1:B4"/>
  <sheetViews>
    <sheetView workbookViewId="0">
      <selection activeCell="I38" sqref="I38"/>
    </sheetView>
  </sheetViews>
  <sheetFormatPr defaultRowHeight="13.8"/>
  <cols>
    <col min="1" max="1" width="17.69921875" customWidth="1"/>
    <col min="2" max="2" width="11.296875" customWidth="1"/>
  </cols>
  <sheetData>
    <row r="1" spans="1:2">
      <c r="A1" s="13" t="s">
        <v>64</v>
      </c>
      <c r="B1" s="13" t="s">
        <v>553</v>
      </c>
    </row>
    <row r="2" spans="1:2">
      <c r="A2" t="s">
        <v>65</v>
      </c>
    </row>
    <row r="3" spans="1:2">
      <c r="A3" t="s">
        <v>552</v>
      </c>
      <c r="B3">
        <v>7</v>
      </c>
    </row>
    <row r="4" spans="1:2">
      <c r="A4" t="s">
        <v>554</v>
      </c>
      <c r="B4">
        <v>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2FB4-00EE-473D-8BCF-DF47BE585853}">
  <dimension ref="A1:D13"/>
  <sheetViews>
    <sheetView workbookViewId="0">
      <selection activeCell="G11" sqref="G11"/>
    </sheetView>
  </sheetViews>
  <sheetFormatPr defaultRowHeight="13.8"/>
  <cols>
    <col min="1" max="1" width="10.796875" customWidth="1"/>
    <col min="2" max="2" width="9.5" customWidth="1"/>
    <col min="3" max="3" width="9.296875" customWidth="1"/>
    <col min="4" max="4" width="10.296875" customWidth="1"/>
  </cols>
  <sheetData>
    <row r="1" spans="1:4">
      <c r="A1" s="51" t="s">
        <v>336</v>
      </c>
      <c r="B1" s="51"/>
      <c r="C1" s="51"/>
      <c r="D1" s="51"/>
    </row>
    <row r="2" spans="1:4">
      <c r="A2" t="s">
        <v>337</v>
      </c>
      <c r="B2" t="s">
        <v>338</v>
      </c>
      <c r="C2" t="s">
        <v>339</v>
      </c>
      <c r="D2" t="s">
        <v>340</v>
      </c>
    </row>
    <row r="3" spans="1:4">
      <c r="A3" s="47" t="s">
        <v>343</v>
      </c>
      <c r="B3" s="47" t="s">
        <v>344</v>
      </c>
      <c r="C3" s="47" t="s">
        <v>345</v>
      </c>
      <c r="D3" s="2" t="s">
        <v>175</v>
      </c>
    </row>
    <row r="4" spans="1:4">
      <c r="A4" s="29" t="s">
        <v>420</v>
      </c>
      <c r="B4" s="29" t="s">
        <v>423</v>
      </c>
      <c r="C4" s="29" t="s">
        <v>345</v>
      </c>
      <c r="D4" s="29">
        <v>1206</v>
      </c>
    </row>
    <row r="5" spans="1:4">
      <c r="A5" s="29" t="s">
        <v>417</v>
      </c>
      <c r="B5" s="29" t="s">
        <v>351</v>
      </c>
      <c r="C5" s="29" t="s">
        <v>345</v>
      </c>
      <c r="D5" s="29">
        <v>1206</v>
      </c>
    </row>
    <row r="6" spans="1:4">
      <c r="A6" s="29" t="s">
        <v>419</v>
      </c>
      <c r="B6" s="29" t="s">
        <v>422</v>
      </c>
      <c r="C6" s="29" t="s">
        <v>345</v>
      </c>
      <c r="D6" s="29">
        <v>1206</v>
      </c>
    </row>
    <row r="7" spans="1:4">
      <c r="A7" s="47" t="s">
        <v>348</v>
      </c>
      <c r="B7" s="47" t="s">
        <v>349</v>
      </c>
      <c r="C7" s="47" t="s">
        <v>342</v>
      </c>
      <c r="D7" s="2" t="s">
        <v>175</v>
      </c>
    </row>
    <row r="8" spans="1:4">
      <c r="A8" s="47" t="s">
        <v>335</v>
      </c>
      <c r="B8" s="47" t="s">
        <v>341</v>
      </c>
      <c r="C8" s="47" t="s">
        <v>342</v>
      </c>
      <c r="D8" s="2" t="s">
        <v>175</v>
      </c>
    </row>
    <row r="9" spans="1:4">
      <c r="A9" s="47" t="s">
        <v>353</v>
      </c>
      <c r="B9" s="47" t="s">
        <v>354</v>
      </c>
      <c r="C9" s="47" t="s">
        <v>318</v>
      </c>
      <c r="D9" s="2" t="s">
        <v>175</v>
      </c>
    </row>
    <row r="10" spans="1:4">
      <c r="A10" s="29" t="s">
        <v>416</v>
      </c>
      <c r="B10" s="29" t="s">
        <v>421</v>
      </c>
      <c r="C10" s="29"/>
      <c r="D10" s="29"/>
    </row>
    <row r="11" spans="1:4">
      <c r="A11" s="47" t="s">
        <v>350</v>
      </c>
      <c r="B11" s="47" t="s">
        <v>351</v>
      </c>
      <c r="C11" s="47" t="s">
        <v>352</v>
      </c>
      <c r="D11" s="2" t="s">
        <v>175</v>
      </c>
    </row>
    <row r="12" spans="1:4">
      <c r="A12" s="29" t="s">
        <v>418</v>
      </c>
      <c r="B12" s="29" t="s">
        <v>422</v>
      </c>
      <c r="C12" s="29" t="s">
        <v>342</v>
      </c>
      <c r="D12" s="29">
        <v>1206</v>
      </c>
    </row>
    <row r="13" spans="1:4">
      <c r="A13" s="47"/>
      <c r="B13" s="47"/>
      <c r="C13" s="47"/>
      <c r="D13" s="47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6216D-3F71-4D4C-A91E-A8D3BE38AF7E}">
  <dimension ref="A1:E6"/>
  <sheetViews>
    <sheetView workbookViewId="0">
      <selection activeCell="J22" sqref="J22"/>
    </sheetView>
  </sheetViews>
  <sheetFormatPr defaultRowHeight="13.8"/>
  <cols>
    <col min="3" max="4" width="10.3984375" customWidth="1"/>
    <col min="5" max="5" width="9.796875" customWidth="1"/>
  </cols>
  <sheetData>
    <row r="1" spans="1:5">
      <c r="A1" s="52" t="s">
        <v>483</v>
      </c>
      <c r="B1" s="52"/>
      <c r="C1" s="52"/>
      <c r="D1" s="52"/>
      <c r="E1" s="52"/>
    </row>
    <row r="2" spans="1:5">
      <c r="A2" s="16" t="s">
        <v>484</v>
      </c>
      <c r="B2" s="16" t="s">
        <v>485</v>
      </c>
      <c r="C2" s="16" t="s">
        <v>995</v>
      </c>
      <c r="D2" s="16" t="s">
        <v>996</v>
      </c>
      <c r="E2" s="16" t="s">
        <v>486</v>
      </c>
    </row>
    <row r="3" spans="1:5">
      <c r="A3" s="7" t="s">
        <v>440</v>
      </c>
      <c r="B3">
        <v>220</v>
      </c>
      <c r="E3" s="5" t="s">
        <v>178</v>
      </c>
    </row>
    <row r="4" spans="1:5">
      <c r="A4" s="8" t="s">
        <v>461</v>
      </c>
      <c r="B4">
        <v>2700</v>
      </c>
      <c r="E4" s="5" t="s">
        <v>178</v>
      </c>
    </row>
    <row r="5" spans="1:5">
      <c r="A5" s="8" t="s">
        <v>475</v>
      </c>
      <c r="B5">
        <v>220</v>
      </c>
      <c r="E5" s="5" t="s">
        <v>178</v>
      </c>
    </row>
    <row r="6" spans="1:5">
      <c r="A6" s="7" t="s">
        <v>440</v>
      </c>
      <c r="B6">
        <v>220</v>
      </c>
      <c r="E6" s="5" t="s">
        <v>178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E93E1-9CEC-4FF9-A834-376D3A0CE4F8}">
  <dimension ref="A1:C51"/>
  <sheetViews>
    <sheetView workbookViewId="0">
      <selection sqref="A1:C51"/>
    </sheetView>
  </sheetViews>
  <sheetFormatPr defaultRowHeight="13.8"/>
  <cols>
    <col min="1" max="1" width="31" customWidth="1"/>
    <col min="2" max="2" width="11.59765625" customWidth="1"/>
    <col min="3" max="3" width="9.3984375" customWidth="1"/>
  </cols>
  <sheetData>
    <row r="1" spans="1:3">
      <c r="A1" s="30" t="s">
        <v>868</v>
      </c>
      <c r="B1" s="10" t="s">
        <v>544</v>
      </c>
      <c r="C1" s="10" t="s">
        <v>612</v>
      </c>
    </row>
    <row r="2" spans="1:3">
      <c r="A2" t="s">
        <v>869</v>
      </c>
      <c r="B2" t="s">
        <v>546</v>
      </c>
      <c r="C2">
        <v>3</v>
      </c>
    </row>
    <row r="3" spans="1:3">
      <c r="A3" t="s">
        <v>870</v>
      </c>
      <c r="B3" s="38" t="s">
        <v>546</v>
      </c>
      <c r="C3">
        <v>15</v>
      </c>
    </row>
    <row r="4" spans="1:3">
      <c r="A4" t="s">
        <v>871</v>
      </c>
      <c r="B4" s="38" t="s">
        <v>546</v>
      </c>
      <c r="C4">
        <v>2</v>
      </c>
    </row>
    <row r="5" spans="1:3">
      <c r="A5" t="s">
        <v>872</v>
      </c>
      <c r="B5" s="38" t="s">
        <v>546</v>
      </c>
      <c r="C5">
        <v>10</v>
      </c>
    </row>
    <row r="6" spans="1:3">
      <c r="A6" t="s">
        <v>873</v>
      </c>
      <c r="B6" s="38" t="s">
        <v>546</v>
      </c>
      <c r="C6">
        <v>8</v>
      </c>
    </row>
    <row r="7" spans="1:3">
      <c r="A7" t="s">
        <v>874</v>
      </c>
      <c r="B7" s="38" t="s">
        <v>546</v>
      </c>
      <c r="C7">
        <v>5</v>
      </c>
    </row>
    <row r="8" spans="1:3">
      <c r="A8" t="s">
        <v>875</v>
      </c>
      <c r="B8" s="38" t="s">
        <v>546</v>
      </c>
      <c r="C8">
        <v>9</v>
      </c>
    </row>
    <row r="9" spans="1:3">
      <c r="A9" t="s">
        <v>874</v>
      </c>
      <c r="B9" s="38" t="s">
        <v>546</v>
      </c>
      <c r="C9">
        <v>2</v>
      </c>
    </row>
    <row r="10" spans="1:3">
      <c r="A10" t="s">
        <v>876</v>
      </c>
      <c r="B10" s="38" t="s">
        <v>546</v>
      </c>
      <c r="C10">
        <v>2</v>
      </c>
    </row>
    <row r="11" spans="1:3">
      <c r="A11" t="s">
        <v>877</v>
      </c>
      <c r="B11" s="38" t="s">
        <v>546</v>
      </c>
      <c r="C11">
        <v>4</v>
      </c>
    </row>
    <row r="12" spans="1:3">
      <c r="A12" t="s">
        <v>878</v>
      </c>
      <c r="B12" s="38" t="s">
        <v>546</v>
      </c>
      <c r="C12">
        <v>8</v>
      </c>
    </row>
    <row r="13" spans="1:3">
      <c r="A13" t="s">
        <v>879</v>
      </c>
      <c r="B13" s="38" t="s">
        <v>546</v>
      </c>
      <c r="C13">
        <v>8</v>
      </c>
    </row>
    <row r="14" spans="1:3">
      <c r="A14" t="s">
        <v>880</v>
      </c>
      <c r="B14" s="38" t="s">
        <v>546</v>
      </c>
      <c r="C14">
        <v>7</v>
      </c>
    </row>
    <row r="15" spans="1:3">
      <c r="A15" t="s">
        <v>881</v>
      </c>
      <c r="B15" s="38" t="s">
        <v>546</v>
      </c>
      <c r="C15">
        <v>5</v>
      </c>
    </row>
    <row r="16" spans="1:3">
      <c r="A16" t="s">
        <v>882</v>
      </c>
      <c r="B16" s="38" t="s">
        <v>546</v>
      </c>
      <c r="C16">
        <v>2</v>
      </c>
    </row>
    <row r="17" spans="1:3">
      <c r="A17" t="s">
        <v>883</v>
      </c>
      <c r="B17" s="38" t="s">
        <v>546</v>
      </c>
      <c r="C17">
        <v>6</v>
      </c>
    </row>
    <row r="18" spans="1:3">
      <c r="A18" t="s">
        <v>875</v>
      </c>
      <c r="B18" s="38" t="s">
        <v>546</v>
      </c>
      <c r="C18">
        <v>1</v>
      </c>
    </row>
    <row r="19" spans="1:3">
      <c r="A19" t="s">
        <v>884</v>
      </c>
      <c r="B19" s="38" t="s">
        <v>546</v>
      </c>
      <c r="C19">
        <v>2</v>
      </c>
    </row>
    <row r="20" spans="1:3">
      <c r="A20" t="s">
        <v>885</v>
      </c>
      <c r="B20" s="38" t="s">
        <v>546</v>
      </c>
      <c r="C20">
        <v>1</v>
      </c>
    </row>
    <row r="21" spans="1:3">
      <c r="A21" t="s">
        <v>886</v>
      </c>
      <c r="B21" s="38" t="s">
        <v>546</v>
      </c>
      <c r="C21">
        <v>8</v>
      </c>
    </row>
    <row r="22" spans="1:3">
      <c r="A22" t="s">
        <v>887</v>
      </c>
      <c r="B22" s="38" t="s">
        <v>546</v>
      </c>
      <c r="C22">
        <v>5</v>
      </c>
    </row>
    <row r="23" spans="1:3">
      <c r="A23" t="s">
        <v>888</v>
      </c>
      <c r="B23" s="38" t="s">
        <v>546</v>
      </c>
      <c r="C23">
        <v>10</v>
      </c>
    </row>
    <row r="24" spans="1:3">
      <c r="A24" t="s">
        <v>889</v>
      </c>
      <c r="B24" s="38" t="s">
        <v>546</v>
      </c>
      <c r="C24">
        <v>6</v>
      </c>
    </row>
    <row r="25" spans="1:3">
      <c r="A25" t="s">
        <v>890</v>
      </c>
      <c r="B25" s="38" t="s">
        <v>546</v>
      </c>
      <c r="C25">
        <v>10</v>
      </c>
    </row>
    <row r="26" spans="1:3">
      <c r="A26" s="34" t="s">
        <v>969</v>
      </c>
      <c r="B26" s="38" t="s">
        <v>546</v>
      </c>
      <c r="C26" s="34">
        <v>39</v>
      </c>
    </row>
    <row r="27" spans="1:3">
      <c r="A27" s="34" t="s">
        <v>970</v>
      </c>
      <c r="B27" s="38" t="s">
        <v>546</v>
      </c>
      <c r="C27" s="34">
        <v>4</v>
      </c>
    </row>
    <row r="28" spans="1:3">
      <c r="A28" s="34" t="s">
        <v>971</v>
      </c>
      <c r="B28" s="38" t="s">
        <v>546</v>
      </c>
      <c r="C28" s="34">
        <v>1</v>
      </c>
    </row>
    <row r="29" spans="1:3">
      <c r="A29" s="34" t="s">
        <v>972</v>
      </c>
      <c r="B29" s="38" t="s">
        <v>546</v>
      </c>
      <c r="C29" s="34">
        <v>3</v>
      </c>
    </row>
    <row r="30" spans="1:3">
      <c r="A30" s="34" t="s">
        <v>973</v>
      </c>
      <c r="B30" s="38" t="s">
        <v>546</v>
      </c>
      <c r="C30" s="34">
        <v>10</v>
      </c>
    </row>
    <row r="31" spans="1:3">
      <c r="A31" s="34" t="s">
        <v>974</v>
      </c>
      <c r="B31" s="38" t="s">
        <v>546</v>
      </c>
      <c r="C31" s="34">
        <v>50</v>
      </c>
    </row>
    <row r="32" spans="1:3">
      <c r="A32" s="34" t="s">
        <v>975</v>
      </c>
      <c r="B32" s="38" t="s">
        <v>546</v>
      </c>
      <c r="C32" s="34">
        <v>1</v>
      </c>
    </row>
    <row r="33" spans="1:3">
      <c r="A33" s="34" t="s">
        <v>976</v>
      </c>
      <c r="B33" s="38" t="s">
        <v>546</v>
      </c>
      <c r="C33" s="34">
        <v>37</v>
      </c>
    </row>
    <row r="34" spans="1:3">
      <c r="A34" s="34" t="s">
        <v>977</v>
      </c>
      <c r="B34" s="38" t="s">
        <v>546</v>
      </c>
      <c r="C34" s="34">
        <v>1</v>
      </c>
    </row>
    <row r="35" spans="1:3">
      <c r="A35" s="34" t="s">
        <v>978</v>
      </c>
      <c r="B35" s="38" t="s">
        <v>546</v>
      </c>
      <c r="C35" s="34">
        <v>50</v>
      </c>
    </row>
    <row r="36" spans="1:3">
      <c r="A36" s="34" t="s">
        <v>979</v>
      </c>
      <c r="B36" s="38" t="s">
        <v>546</v>
      </c>
      <c r="C36" s="34">
        <v>8</v>
      </c>
    </row>
    <row r="37" spans="1:3">
      <c r="A37" s="34" t="s">
        <v>980</v>
      </c>
      <c r="B37" s="38" t="s">
        <v>546</v>
      </c>
      <c r="C37" s="34">
        <v>8</v>
      </c>
    </row>
    <row r="38" spans="1:3">
      <c r="A38" s="34" t="s">
        <v>981</v>
      </c>
      <c r="B38" s="38" t="s">
        <v>546</v>
      </c>
      <c r="C38" s="34">
        <v>6</v>
      </c>
    </row>
    <row r="39" spans="1:3">
      <c r="A39" s="34" t="s">
        <v>982</v>
      </c>
      <c r="B39" s="38" t="s">
        <v>546</v>
      </c>
      <c r="C39" s="34">
        <v>20</v>
      </c>
    </row>
    <row r="40" spans="1:3">
      <c r="A40" s="34" t="s">
        <v>983</v>
      </c>
      <c r="B40" s="38" t="s">
        <v>546</v>
      </c>
      <c r="C40" s="34">
        <v>6</v>
      </c>
    </row>
    <row r="41" spans="1:3">
      <c r="A41" s="34" t="s">
        <v>984</v>
      </c>
      <c r="B41" s="38" t="s">
        <v>546</v>
      </c>
      <c r="C41" s="34">
        <v>10</v>
      </c>
    </row>
    <row r="42" spans="1:3">
      <c r="A42" s="34" t="s">
        <v>985</v>
      </c>
      <c r="B42" s="38" t="s">
        <v>546</v>
      </c>
      <c r="C42" s="34">
        <v>16</v>
      </c>
    </row>
    <row r="43" spans="1:3">
      <c r="A43" s="34" t="s">
        <v>986</v>
      </c>
      <c r="B43" s="38" t="s">
        <v>546</v>
      </c>
      <c r="C43" s="34">
        <v>9</v>
      </c>
    </row>
    <row r="44" spans="1:3">
      <c r="A44" s="34" t="s">
        <v>987</v>
      </c>
      <c r="B44" s="38" t="s">
        <v>546</v>
      </c>
      <c r="C44" s="34">
        <v>15</v>
      </c>
    </row>
    <row r="45" spans="1:3">
      <c r="A45" s="34" t="s">
        <v>988</v>
      </c>
      <c r="B45" s="38" t="s">
        <v>546</v>
      </c>
      <c r="C45" s="34">
        <v>9</v>
      </c>
    </row>
    <row r="46" spans="1:3">
      <c r="A46" s="34" t="s">
        <v>989</v>
      </c>
      <c r="B46" s="38" t="s">
        <v>546</v>
      </c>
      <c r="C46" s="34">
        <v>7</v>
      </c>
    </row>
    <row r="47" spans="1:3">
      <c r="A47" s="34" t="s">
        <v>990</v>
      </c>
      <c r="B47" s="38" t="s">
        <v>546</v>
      </c>
      <c r="C47" s="34">
        <v>8</v>
      </c>
    </row>
    <row r="48" spans="1:3">
      <c r="A48" s="34" t="s">
        <v>991</v>
      </c>
      <c r="B48" s="38" t="s">
        <v>546</v>
      </c>
      <c r="C48" s="34">
        <v>8</v>
      </c>
    </row>
    <row r="49" spans="1:3">
      <c r="A49" s="34" t="s">
        <v>992</v>
      </c>
      <c r="B49" s="38" t="s">
        <v>546</v>
      </c>
      <c r="C49" s="34">
        <v>15</v>
      </c>
    </row>
    <row r="50" spans="1:3">
      <c r="A50" s="34" t="s">
        <v>993</v>
      </c>
      <c r="B50" s="38" t="s">
        <v>546</v>
      </c>
      <c r="C50" s="34">
        <v>2</v>
      </c>
    </row>
    <row r="51" spans="1:3">
      <c r="A51" s="34" t="s">
        <v>994</v>
      </c>
      <c r="B51" s="38" t="s">
        <v>546</v>
      </c>
      <c r="C51" s="34">
        <v>2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671F-5CD3-4DF8-AF33-1FF838B07D70}">
  <dimension ref="A1:C35"/>
  <sheetViews>
    <sheetView workbookViewId="0">
      <selection activeCell="K28" sqref="K28"/>
    </sheetView>
  </sheetViews>
  <sheetFormatPr defaultRowHeight="13.8"/>
  <cols>
    <col min="1" max="1" width="26.796875" customWidth="1"/>
    <col min="2" max="2" width="50.8984375" customWidth="1"/>
  </cols>
  <sheetData>
    <row r="1" spans="1:3">
      <c r="A1" t="s">
        <v>614</v>
      </c>
      <c r="B1" t="s">
        <v>337</v>
      </c>
      <c r="C1" t="s">
        <v>616</v>
      </c>
    </row>
    <row r="2" spans="1:3">
      <c r="A2" t="s">
        <v>364</v>
      </c>
      <c r="B2" t="s">
        <v>365</v>
      </c>
      <c r="C2">
        <v>1</v>
      </c>
    </row>
    <row r="3" spans="1:3">
      <c r="A3" t="s">
        <v>47</v>
      </c>
      <c r="B3" t="s">
        <v>48</v>
      </c>
      <c r="C3">
        <v>1</v>
      </c>
    </row>
    <row r="4" spans="1:3">
      <c r="A4" t="s">
        <v>45</v>
      </c>
      <c r="B4" t="s">
        <v>46</v>
      </c>
      <c r="C4">
        <v>1</v>
      </c>
    </row>
    <row r="5" spans="1:3">
      <c r="B5" t="s">
        <v>35</v>
      </c>
    </row>
    <row r="6" spans="1:3">
      <c r="B6" t="s">
        <v>34</v>
      </c>
    </row>
    <row r="7" spans="1:3">
      <c r="B7" t="s">
        <v>74</v>
      </c>
    </row>
    <row r="8" spans="1:3">
      <c r="A8" t="s">
        <v>29</v>
      </c>
      <c r="B8" t="s">
        <v>55</v>
      </c>
    </row>
    <row r="9" spans="1:3">
      <c r="A9" t="s">
        <v>29</v>
      </c>
      <c r="B9" t="s">
        <v>46</v>
      </c>
    </row>
    <row r="10" spans="1:3">
      <c r="B10" t="s">
        <v>4</v>
      </c>
    </row>
    <row r="11" spans="1:3">
      <c r="B11" t="s">
        <v>5</v>
      </c>
    </row>
    <row r="12" spans="1:3">
      <c r="B12" t="s">
        <v>6</v>
      </c>
    </row>
    <row r="13" spans="1:3">
      <c r="B13" t="s">
        <v>8</v>
      </c>
    </row>
    <row r="14" spans="1:3">
      <c r="B14" t="s">
        <v>12</v>
      </c>
    </row>
    <row r="15" spans="1:3">
      <c r="B15" t="s">
        <v>13</v>
      </c>
    </row>
    <row r="16" spans="1:3">
      <c r="B16" t="s">
        <v>15</v>
      </c>
    </row>
    <row r="17" spans="2:2">
      <c r="B17" t="s">
        <v>16</v>
      </c>
    </row>
    <row r="18" spans="2:2">
      <c r="B18" t="s">
        <v>23</v>
      </c>
    </row>
    <row r="19" spans="2:2">
      <c r="B19" t="s">
        <v>27</v>
      </c>
    </row>
    <row r="20" spans="2:2">
      <c r="B20" t="s">
        <v>28</v>
      </c>
    </row>
    <row r="22" spans="2:2">
      <c r="B22" t="s">
        <v>30</v>
      </c>
    </row>
    <row r="23" spans="2:2">
      <c r="B23" t="s">
        <v>31</v>
      </c>
    </row>
    <row r="25" spans="2:2">
      <c r="B25" t="s">
        <v>33</v>
      </c>
    </row>
    <row r="26" spans="2:2">
      <c r="B26" t="s">
        <v>49</v>
      </c>
    </row>
    <row r="27" spans="2:2">
      <c r="B27" t="s">
        <v>50</v>
      </c>
    </row>
    <row r="28" spans="2:2">
      <c r="B28" t="s">
        <v>51</v>
      </c>
    </row>
    <row r="29" spans="2:2">
      <c r="B29" t="s">
        <v>32</v>
      </c>
    </row>
    <row r="30" spans="2:2">
      <c r="B30" t="s">
        <v>52</v>
      </c>
    </row>
    <row r="31" spans="2:2">
      <c r="B31" t="s">
        <v>56</v>
      </c>
    </row>
    <row r="32" spans="2:2">
      <c r="B32" t="s">
        <v>61</v>
      </c>
    </row>
    <row r="33" spans="2:3">
      <c r="B33" t="s">
        <v>63</v>
      </c>
    </row>
    <row r="34" spans="2:3">
      <c r="B34" t="s">
        <v>360</v>
      </c>
    </row>
    <row r="35" spans="2:3">
      <c r="B35" t="s">
        <v>866</v>
      </c>
      <c r="C35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Resistor</vt:lpstr>
      <vt:lpstr>Capacitor</vt:lpstr>
      <vt:lpstr>Inductor</vt:lpstr>
      <vt:lpstr>Filter</vt:lpstr>
      <vt:lpstr>VCO</vt:lpstr>
      <vt:lpstr>Mixer</vt:lpstr>
      <vt:lpstr>Amplifier</vt:lpstr>
      <vt:lpstr>Regulator</vt:lpstr>
      <vt:lpstr>Connector</vt:lpstr>
      <vt:lpstr>Multiplier</vt:lpstr>
      <vt:lpstr>Switch</vt:lpstr>
      <vt:lpstr>Attenuator</vt:lpstr>
      <vt:lpstr>Fuse</vt:lpstr>
      <vt:lpstr>Ferrite bead </vt:lpstr>
      <vt:lpstr>Digital IC</vt:lpstr>
      <vt:lpstr>Other</vt:lpstr>
      <vt:lpstr>_0201</vt:lpstr>
      <vt:lpstr>Resistor!daass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Christopher Witek</dc:creator>
  <cp:lastModifiedBy>Xinhang Xu</cp:lastModifiedBy>
  <dcterms:created xsi:type="dcterms:W3CDTF">2025-11-14T18:05:50Z</dcterms:created>
  <dcterms:modified xsi:type="dcterms:W3CDTF">2026-01-03T03:19:33Z</dcterms:modified>
</cp:coreProperties>
</file>