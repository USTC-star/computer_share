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hina\CT\"/>
    </mc:Choice>
  </mc:AlternateContent>
  <xr:revisionPtr revIDLastSave="0" documentId="8_{47C5415E-AC66-4DF0-A2B4-C27AFFEB0CE5}" xr6:coauthVersionLast="36" xr6:coauthVersionMax="36" xr10:uidLastSave="{00000000-0000-0000-0000-000000000000}"/>
  <bookViews>
    <workbookView xWindow="-16200" yWindow="3300" windowWidth="16416" windowHeight="13932" activeTab="1" xr2:uid="{00000000-000D-0000-FFFF-FFFF00000000}"/>
  </bookViews>
  <sheets>
    <sheet name="EAST-MIR" sheetId="1" r:id="rId1"/>
    <sheet name="HL3-MI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" l="1"/>
</calcChain>
</file>

<file path=xl/sharedStrings.xml><?xml version="1.0" encoding="utf-8"?>
<sst xmlns="http://schemas.openxmlformats.org/spreadsheetml/2006/main" count="11" uniqueCount="8">
  <si>
    <t>EAST-MIR光路</t>
    <phoneticPr fontId="1" type="noConversion"/>
  </si>
  <si>
    <t>Y高度</t>
    <phoneticPr fontId="1" type="noConversion"/>
  </si>
  <si>
    <t>束腰位置H-plane（ref21）</t>
    <phoneticPr fontId="1" type="noConversion"/>
  </si>
  <si>
    <t>束腰位置E-plane（ref20）</t>
    <phoneticPr fontId="1" type="noConversion"/>
  </si>
  <si>
    <t>将参考面20、21改为平面</t>
    <phoneticPr fontId="1" type="noConversion"/>
  </si>
  <si>
    <t>束腰位置H-plane（ref20）</t>
    <phoneticPr fontId="1" type="noConversion"/>
  </si>
  <si>
    <t>束腰位置H-plane（ref15）</t>
    <phoneticPr fontId="1" type="noConversion"/>
  </si>
  <si>
    <t>束腰位置E-plane（ref15）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</si>
</sst>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70219639383391E-2"/>
          <c:y val="0.10795780809089005"/>
          <c:w val="0.91395019217310469"/>
          <c:h val="0.80543565857084765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'EAST-MIR'!$D$19:$D$30</c:f>
              <c:numCache>
                <c:formatCode>General</c:formatCode>
                <c:ptCount val="12"/>
                <c:pt idx="0">
                  <c:v>17.5</c:v>
                </c:pt>
                <c:pt idx="1">
                  <c:v>18.100000000000001</c:v>
                </c:pt>
                <c:pt idx="2">
                  <c:v>19</c:v>
                </c:pt>
                <c:pt idx="3">
                  <c:v>20</c:v>
                </c:pt>
                <c:pt idx="4">
                  <c:v>20.8</c:v>
                </c:pt>
                <c:pt idx="5">
                  <c:v>21.2</c:v>
                </c:pt>
                <c:pt idx="6">
                  <c:v>21.2</c:v>
                </c:pt>
                <c:pt idx="7">
                  <c:v>20.8</c:v>
                </c:pt>
                <c:pt idx="8">
                  <c:v>20</c:v>
                </c:pt>
                <c:pt idx="9">
                  <c:v>19</c:v>
                </c:pt>
                <c:pt idx="10">
                  <c:v>18.100000000000001</c:v>
                </c:pt>
                <c:pt idx="11">
                  <c:v>17.5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84-4F20-BF16-E4CF2D789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843632"/>
        <c:axId val="238844112"/>
      </c:scatterChart>
      <c:valAx>
        <c:axId val="23884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844112"/>
        <c:crosses val="autoZero"/>
        <c:crossBetween val="midCat"/>
      </c:valAx>
      <c:valAx>
        <c:axId val="23884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84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'HL3-MIR'!$D$2:$D$6</c:f>
              <c:numCache>
                <c:formatCode>General</c:formatCode>
                <c:ptCount val="5"/>
                <c:pt idx="0">
                  <c:v>-100.5</c:v>
                </c:pt>
                <c:pt idx="1">
                  <c:v>-120.2</c:v>
                </c:pt>
                <c:pt idx="2">
                  <c:v>-125.2</c:v>
                </c:pt>
                <c:pt idx="3">
                  <c:v>-120.2</c:v>
                </c:pt>
                <c:pt idx="4">
                  <c:v>-100.5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D7-4289-B376-5ABE09DB6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1387216"/>
        <c:axId val="241388656"/>
      </c:scatterChart>
      <c:valAx>
        <c:axId val="241387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388656"/>
        <c:crosses val="autoZero"/>
        <c:crossBetween val="midCat"/>
      </c:valAx>
      <c:valAx>
        <c:axId val="24138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38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1328736</xdr:colOff>
      <xdr:row>8</xdr:row>
      <xdr:rowOff>38100</xdr:rowOff>
    </xdr:from>
    <xdr:to>
      <xdr:col>11</xdr:col>
      <xdr:colOff>466724</xdr:colOff>
      <xdr:row>30</xdr:row>
      <xdr:rowOff>114300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EAFF6AB-E1A4-E443-AB1F-384E36818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1233487</xdr:colOff>
      <xdr:row>9</xdr:row>
      <xdr:rowOff>66675</xdr:rowOff>
    </xdr:from>
    <xdr:to>
      <xdr:col>6</xdr:col>
      <xdr:colOff>623887</xdr:colOff>
      <xdr:row>24</xdr:row>
      <xdr:rowOff>95250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EAC4CEA-B397-859B-CCA3-26999FF9A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workbookViewId="0">
      <selection activeCell="A18" sqref="A18:XFD18"/>
    </sheetView>
  </sheetViews>
  <sheetFormatPr defaultColWidth="9" defaultRowHeight="14.4"/>
  <cols>
    <col min="1" max="2" width="9" style="1"/>
    <col min="3" max="3" width="25.109375" style="1" bestFit="1" customWidth="1"/>
    <col min="4" max="4" width="24.88671875" style="1" bestFit="1" customWidth="1"/>
    <col min="5" max="16384" width="9" style="1"/>
  </cols>
  <sheetData>
    <row r="1" spans="1:4">
      <c r="A1" s="1" t="s">
        <v>0</v>
      </c>
    </row>
    <row r="2" spans="1:4">
      <c r="B2" s="1" t="s">
        <v>1</v>
      </c>
      <c r="C2" s="1" t="s">
        <v>2</v>
      </c>
      <c r="D2" s="1" t="s">
        <v>3</v>
      </c>
    </row>
    <row r="3" spans="1:4">
      <c r="A3" s="1">
        <v>1</v>
      </c>
      <c r="B3" s="1">
        <v>146.685</v>
      </c>
      <c r="C3" s="1">
        <v>36</v>
      </c>
      <c r="D3" s="1">
        <v>24</v>
      </c>
    </row>
    <row r="4" spans="1:4">
      <c r="A4" s="1">
        <v>2</v>
      </c>
      <c r="B4" s="1">
        <v>120.015</v>
      </c>
      <c r="C4" s="1">
        <v>33.1</v>
      </c>
      <c r="D4" s="1">
        <v>22.9</v>
      </c>
    </row>
    <row r="5" spans="1:4">
      <c r="A5" s="1">
        <v>3</v>
      </c>
      <c r="B5" s="1">
        <v>93.344999999999999</v>
      </c>
      <c r="C5" s="1">
        <v>30.6</v>
      </c>
      <c r="D5" s="1">
        <v>21.99</v>
      </c>
    </row>
    <row r="6" spans="1:4">
      <c r="A6" s="1">
        <v>4</v>
      </c>
      <c r="B6" s="1">
        <v>66.674999999999997</v>
      </c>
      <c r="C6" s="1">
        <v>28.7</v>
      </c>
      <c r="D6" s="1">
        <v>21.5</v>
      </c>
    </row>
    <row r="7" spans="1:4">
      <c r="A7" s="1">
        <v>5</v>
      </c>
      <c r="B7" s="1">
        <v>40.005000000000003</v>
      </c>
      <c r="C7" s="1">
        <v>27.5</v>
      </c>
      <c r="D7" s="1">
        <v>21.3</v>
      </c>
    </row>
    <row r="8" spans="1:4">
      <c r="A8" s="1">
        <v>6</v>
      </c>
      <c r="B8" s="1">
        <v>13.335000000000001</v>
      </c>
      <c r="C8" s="1">
        <v>26.9</v>
      </c>
      <c r="D8" s="1">
        <v>21.3</v>
      </c>
    </row>
    <row r="9" spans="1:4">
      <c r="A9" s="1">
        <v>7</v>
      </c>
      <c r="B9" s="1">
        <v>-13.335000000000001</v>
      </c>
      <c r="C9" s="1">
        <v>26.9</v>
      </c>
      <c r="D9" s="1">
        <v>21.3</v>
      </c>
    </row>
    <row r="10" spans="1:4">
      <c r="A10" s="1">
        <v>8</v>
      </c>
      <c r="B10" s="1">
        <v>-40.005000000000003</v>
      </c>
      <c r="C10" s="1">
        <v>27.5</v>
      </c>
      <c r="D10" s="1">
        <v>21.3</v>
      </c>
    </row>
    <row r="11" spans="1:4">
      <c r="A11" s="1">
        <v>9</v>
      </c>
      <c r="B11" s="1">
        <v>-66.674999999999997</v>
      </c>
      <c r="C11" s="1">
        <v>28.7</v>
      </c>
      <c r="D11" s="1">
        <v>21.5</v>
      </c>
    </row>
    <row r="12" spans="1:4">
      <c r="A12" s="1">
        <v>10</v>
      </c>
      <c r="B12" s="1">
        <v>-93.344999999999999</v>
      </c>
      <c r="C12" s="1">
        <v>30.6</v>
      </c>
      <c r="D12" s="1">
        <v>21.99</v>
      </c>
    </row>
    <row r="13" spans="1:4">
      <c r="A13" s="1">
        <v>11</v>
      </c>
      <c r="B13" s="1">
        <v>-120.015</v>
      </c>
      <c r="C13" s="1">
        <v>33.1</v>
      </c>
      <c r="D13" s="1">
        <v>22.9</v>
      </c>
    </row>
    <row r="14" spans="1:4">
      <c r="A14" s="1">
        <v>12</v>
      </c>
      <c r="B14" s="1">
        <v>-146.685</v>
      </c>
      <c r="C14" s="1">
        <v>36</v>
      </c>
      <c r="D14" s="1">
        <v>24</v>
      </c>
    </row>
    <row r="16" spans="1:4">
      <c r="A16" s="1" t="s">
        <v>4</v>
      </c>
    </row>
    <row r="18" spans="1:4">
      <c r="B18" s="1" t="s">
        <v>1</v>
      </c>
      <c r="C18" s="1" t="s">
        <v>5</v>
      </c>
      <c r="D18" s="1" t="s">
        <v>3</v>
      </c>
    </row>
    <row r="19" spans="1:4">
      <c r="A19" s="1">
        <v>1</v>
      </c>
      <c r="B19" s="1">
        <v>146.685</v>
      </c>
      <c r="C19" s="1">
        <v>-20.5</v>
      </c>
      <c r="D19" s="1">
        <v>17.5</v>
      </c>
    </row>
    <row r="20" spans="1:4">
      <c r="A20" s="1">
        <v>2</v>
      </c>
      <c r="B20" s="1">
        <v>120.015</v>
      </c>
      <c r="C20" s="1">
        <v>-21.5</v>
      </c>
      <c r="D20" s="1">
        <v>18.100000000000001</v>
      </c>
    </row>
    <row r="21" spans="1:4">
      <c r="A21" s="1">
        <v>3</v>
      </c>
      <c r="B21" s="1">
        <v>93.344999999999999</v>
      </c>
      <c r="C21" s="1">
        <v>-22.2</v>
      </c>
      <c r="D21" s="1">
        <v>19</v>
      </c>
    </row>
    <row r="22" spans="1:4">
      <c r="A22" s="1">
        <v>4</v>
      </c>
      <c r="B22" s="1">
        <v>66.674999999999997</v>
      </c>
      <c r="C22" s="1">
        <v>-22.7</v>
      </c>
      <c r="D22" s="1">
        <v>20</v>
      </c>
    </row>
    <row r="23" spans="1:4">
      <c r="A23" s="1">
        <v>5</v>
      </c>
      <c r="B23" s="1">
        <v>40.005000000000003</v>
      </c>
      <c r="C23" s="1">
        <v>-23</v>
      </c>
      <c r="D23" s="1">
        <v>20.8</v>
      </c>
    </row>
    <row r="24" spans="1:4">
      <c r="A24" s="1">
        <v>6</v>
      </c>
      <c r="B24" s="1">
        <v>13.335000000000001</v>
      </c>
      <c r="C24" s="1">
        <v>-23.1</v>
      </c>
      <c r="D24" s="1">
        <v>21.2</v>
      </c>
    </row>
    <row r="25" spans="1:4">
      <c r="A25" s="1">
        <v>7</v>
      </c>
      <c r="B25" s="1">
        <v>-13.335000000000001</v>
      </c>
      <c r="C25" s="1">
        <v>-23.1</v>
      </c>
      <c r="D25" s="1">
        <v>21.2</v>
      </c>
    </row>
    <row r="26" spans="1:4">
      <c r="A26" s="1">
        <v>8</v>
      </c>
      <c r="B26" s="1">
        <v>-40.005000000000003</v>
      </c>
      <c r="C26" s="1">
        <v>-23</v>
      </c>
      <c r="D26" s="1">
        <v>20.8</v>
      </c>
    </row>
    <row r="27" spans="1:4">
      <c r="A27" s="1">
        <v>9</v>
      </c>
      <c r="B27" s="1">
        <v>-66.674999999999997</v>
      </c>
      <c r="C27" s="1">
        <v>-22.7</v>
      </c>
      <c r="D27" s="1">
        <v>20</v>
      </c>
    </row>
    <row r="28" spans="1:4">
      <c r="A28" s="1">
        <v>10</v>
      </c>
      <c r="B28" s="1">
        <v>-93.344999999999999</v>
      </c>
      <c r="C28" s="1">
        <v>-22.2</v>
      </c>
      <c r="D28" s="1">
        <v>19</v>
      </c>
    </row>
    <row r="29" spans="1:4">
      <c r="A29" s="1">
        <v>11</v>
      </c>
      <c r="B29" s="1">
        <v>-120.015</v>
      </c>
      <c r="C29" s="1">
        <v>-21.5</v>
      </c>
      <c r="D29" s="1">
        <v>18.100000000000001</v>
      </c>
    </row>
    <row r="30" spans="1:4">
      <c r="A30" s="1">
        <v>12</v>
      </c>
      <c r="B30" s="1">
        <v>-146.685</v>
      </c>
      <c r="C30" s="1">
        <v>-20.5</v>
      </c>
      <c r="D30" s="1">
        <v>17.5</v>
      </c>
    </row>
  </sheetData>
  <sortState ref="D25:D30">
    <sortCondition descending="1" ref="D25:D30"/>
  </sortState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9109C-8646-4CDC-A9A2-2C05A93D59A4}">
  <dimension ref="A1:D6"/>
  <sheetViews>
    <sheetView tabSelected="1" workbookViewId="0">
      <selection activeCell="I22" sqref="I22"/>
    </sheetView>
  </sheetViews>
  <sheetFormatPr defaultRowHeight="14.4"/>
  <cols>
    <col min="3" max="3" width="25.109375" bestFit="1" customWidth="1"/>
    <col min="4" max="4" width="24.88671875" bestFit="1" customWidth="1"/>
  </cols>
  <sheetData>
    <row r="1" spans="1:4" s="1" customFormat="1">
      <c r="B1" s="1" t="s">
        <v>1</v>
      </c>
      <c r="C1" s="1" t="s">
        <v>6</v>
      </c>
      <c r="D1" s="1" t="s">
        <v>7</v>
      </c>
    </row>
    <row r="2" spans="1:4">
      <c r="A2">
        <v>1</v>
      </c>
      <c r="B2">
        <v>146.685</v>
      </c>
      <c r="C2">
        <v>-1316.3</v>
      </c>
      <c r="D2">
        <v>-100.5</v>
      </c>
    </row>
    <row r="3" spans="1:4">
      <c r="A3">
        <v>2</v>
      </c>
      <c r="B3">
        <v>66.674999999999997</v>
      </c>
      <c r="C3">
        <v>-1339.5</v>
      </c>
      <c r="D3">
        <v>-120.2</v>
      </c>
    </row>
    <row r="4" spans="1:4">
      <c r="A4">
        <v>3</v>
      </c>
      <c r="B4">
        <v>0</v>
      </c>
      <c r="C4">
        <f>--1345.4</f>
        <v>1345.4</v>
      </c>
      <c r="D4">
        <v>-125.2</v>
      </c>
    </row>
    <row r="5" spans="1:4">
      <c r="A5">
        <v>4</v>
      </c>
      <c r="B5">
        <v>-66.674999999999997</v>
      </c>
      <c r="C5">
        <v>-1339.5</v>
      </c>
      <c r="D5">
        <v>-120.2</v>
      </c>
    </row>
    <row r="6" spans="1:4">
      <c r="A6">
        <v>5</v>
      </c>
      <c r="B6">
        <v>-146.685</v>
      </c>
      <c r="C6">
        <v>-1316.3</v>
      </c>
      <c r="D6">
        <v>-100.5</v>
      </c>
    </row>
  </sheetData>
  <sortState ref="C5:C6">
    <sortCondition ref="C5:C6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EAST-MIR</vt:lpstr>
      <vt:lpstr>HL3-MIR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chengming qu</dc:creator>
  <cp:lastModifiedBy>Xinhang Xu</cp:lastModifiedBy>
  <dcterms:created xsi:type="dcterms:W3CDTF">2015-06-05T18:19:34Z</dcterms:created>
  <dcterms:modified xsi:type="dcterms:W3CDTF">2025-11-21T20:03:57Z</dcterms:modified>
</cp:coreProperties>
</file>