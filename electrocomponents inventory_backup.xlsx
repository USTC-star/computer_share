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96DFB65D-680F-4594-AD60-B59BDCDF9B55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Sheet1" sheetId="1" r:id="rId1"/>
  </sheets>
  <definedNames>
    <definedName name="_0201">Sheet1!$K$3</definedName>
    <definedName name="daass" comment="sdas" localSheetId="0">Sheet1!$K$3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6" i="1"/>
  <c r="C38" i="1"/>
  <c r="H3" i="1"/>
  <c r="H14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15" i="1"/>
  <c r="C16" i="1"/>
  <c r="C17" i="1"/>
  <c r="C18" i="1"/>
  <c r="C19" i="1"/>
  <c r="C20" i="1"/>
  <c r="C21" i="1"/>
  <c r="C5" i="1"/>
  <c r="C7" i="1"/>
  <c r="C8" i="1"/>
  <c r="C9" i="1"/>
  <c r="C10" i="1"/>
  <c r="C11" i="1"/>
  <c r="C12" i="1"/>
  <c r="C13" i="1"/>
  <c r="C14" i="1"/>
  <c r="H28" i="1"/>
  <c r="H24" i="1"/>
  <c r="H19" i="1"/>
  <c r="H17" i="1"/>
  <c r="H31" i="1"/>
  <c r="H35" i="1"/>
  <c r="H34" i="1"/>
  <c r="H32" i="1"/>
  <c r="H13" i="1"/>
  <c r="H8" i="1"/>
  <c r="H9" i="1"/>
  <c r="H6" i="1"/>
  <c r="H5" i="1"/>
  <c r="H7" i="1"/>
  <c r="H11" i="1"/>
  <c r="H22" i="1"/>
  <c r="H15" i="1"/>
  <c r="H30" i="1"/>
  <c r="H10" i="1"/>
  <c r="H12" i="1"/>
  <c r="H18" i="1"/>
  <c r="H25" i="1"/>
  <c r="H23" i="1"/>
  <c r="H29" i="1"/>
  <c r="H4" i="1"/>
  <c r="H26" i="1"/>
  <c r="H20" i="1"/>
  <c r="H16" i="1"/>
  <c r="H33" i="1"/>
  <c r="H27" i="1"/>
  <c r="H21" i="1"/>
</calcChain>
</file>

<file path=xl/sharedStrings.xml><?xml version="1.0" encoding="utf-8"?>
<sst xmlns="http://schemas.openxmlformats.org/spreadsheetml/2006/main" count="350" uniqueCount="275">
  <si>
    <t>capacitors</t>
  </si>
  <si>
    <t>amps</t>
  </si>
  <si>
    <t>connectors</t>
  </si>
  <si>
    <t>misc</t>
  </si>
  <si>
    <t>10 uF</t>
  </si>
  <si>
    <t>RF LVA-123+</t>
  </si>
  <si>
    <t>WR-FPC</t>
  </si>
  <si>
    <t>SMA</t>
  </si>
  <si>
    <t>BNC</t>
  </si>
  <si>
    <t>RF-Reciever Board</t>
  </si>
  <si>
    <t>Hi-temp epoxy</t>
  </si>
  <si>
    <t>digital mini scale 001g</t>
  </si>
  <si>
    <t>Cables</t>
  </si>
  <si>
    <t>0.5mm FFC</t>
  </si>
  <si>
    <t>binder clip</t>
  </si>
  <si>
    <t>220 uF</t>
  </si>
  <si>
    <t>470 uF</t>
  </si>
  <si>
    <t>330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</si>
  <si>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</si>
  <si>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</si>
  <si>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</si>
  <si>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</si>
  <si>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</si>
  <si>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</si>
  <si>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</si>
  <si>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</si>
  <si>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</si>
  <si>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</si>
  <si>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</si>
  <si>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</si>
  <si>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</si>
  <si>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</si>
  <si>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</si>
  <si>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</si>
  <si>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</si>
  <si>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</si>
  <si>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</si>
  <si>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</si>
  <si>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</si>
  <si>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</si>
  <si>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</si>
  <si>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</si>
  <si>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</si>
  <si>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</si>
  <si>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other Chips</t>
  </si>
  <si>
    <t>Freq Mixer</t>
  </si>
  <si>
    <t>SIM -14+</t>
  </si>
  <si>
    <t>SIM-123+</t>
  </si>
  <si>
    <t>SIM-73L+</t>
  </si>
  <si>
    <t>SIM-83+</t>
  </si>
  <si>
    <t>SIM-83LH+</t>
  </si>
  <si>
    <t>SIM-14+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</si>
  <si>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</si>
  <si>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</si>
  <si>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</si>
  <si>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</si>
  <si>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</si>
  <si>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</si>
  <si>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</si>
  <si>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</si>
  <si>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OPA360,SC70-6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</si>
  <si>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</si>
  <si>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</si>
  <si>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</si>
  <si>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</si>
  <si>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</si>
  <si>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</si>
  <si>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</si>
  <si>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</si>
  <si>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</si>
  <si>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</si>
  <si>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</si>
  <si>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LVA-123+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</si>
  <si>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</si>
  <si>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</si>
  <si>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</si>
  <si>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</si>
  <si>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</si>
  <si>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</si>
  <si>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</si>
  <si>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</si>
  <si>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</si>
  <si>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</si>
  <si>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inductance</t>
  </si>
  <si>
    <t>multiplier</t>
  </si>
  <si>
    <t>HMC1167LP5E</t>
  </si>
  <si>
    <t>TGC4406-SM</t>
  </si>
  <si>
    <t>TPS73501QDRBRQ1</t>
  </si>
  <si>
    <t>0.1 uf</t>
  </si>
  <si>
    <t>TGA 4705-FC</t>
  </si>
  <si>
    <t>HMC773LC3B</t>
  </si>
  <si>
    <t>77GHz ,Triquint,LNA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</si>
  <si>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</si>
  <si>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</si>
  <si>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</si>
  <si>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</si>
  <si>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</si>
  <si>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</si>
  <si>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</si>
  <si>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</si>
  <si>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</si>
  <si>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</si>
  <si>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</si>
  <si>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</si>
  <si>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</si>
  <si>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</si>
  <si>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</si>
  <si>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</si>
  <si>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</si>
  <si>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</si>
  <si>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</si>
  <si>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</si>
  <si>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</si>
  <si>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</si>
  <si>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</si>
  <si>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</si>
  <si>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</si>
  <si>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</si>
  <si>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</si>
  <si>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</si>
  <si>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</si>
  <si>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</si>
  <si>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</si>
  <si>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</si>
  <si>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</si>
  <si>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</si>
  <si>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</si>
  <si>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</si>
  <si>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</si>
  <si>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</si>
  <si>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</si>
  <si>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</si>
  <si>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</si>
  <si>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</si>
  <si>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</si>
  <si>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</si>
  <si>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</si>
  <si>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</si>
  <si>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</si>
  <si>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</si>
  <si>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</si>
  <si>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</si>
  <si>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</si>
  <si>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</si>
  <si>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</si>
  <si>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</si>
  <si>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</si>
  <si>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</si>
  <si>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</si>
  <si>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</si>
  <si>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</si>
  <si>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</si>
  <si>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</si>
  <si>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</si>
  <si>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</si>
  <si>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</si>
  <si>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</si>
  <si>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</si>
  <si>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</si>
  <si>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</si>
  <si>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</si>
  <si>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</si>
  <si>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</si>
  <si>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</si>
  <si>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</si>
  <si>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435MS8GE</t>
  </si>
  <si>
    <t>HMC736LP4E,14.5-15.0GHZ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</si>
  <si>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</si>
  <si>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</si>
  <si>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</si>
  <si>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</si>
  <si>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</si>
  <si>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</si>
  <si>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</si>
  <si>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</si>
  <si>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</si>
  <si>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</si>
  <si>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</si>
  <si>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HMC506LP4E,7.8-8.7GHZ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</si>
  <si>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</si>
  <si>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</si>
  <si>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</si>
  <si>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</si>
  <si>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</si>
  <si>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</si>
  <si>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</si>
  <si>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</si>
  <si>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</si>
  <si>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</si>
  <si>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</si>
  <si>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</si>
  <si>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</si>
  <si>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3.32k</t>
  </si>
  <si>
    <t>0402</t>
  </si>
  <si>
    <t>0603</t>
  </si>
  <si>
    <t>1.05k</t>
  </si>
  <si>
    <t xml:space="preserve"> 0402</t>
  </si>
  <si>
    <t>18k</t>
  </si>
  <si>
    <t>8.06k</t>
  </si>
  <si>
    <t>47k</t>
  </si>
  <si>
    <t>38.3k</t>
  </si>
  <si>
    <t>82k</t>
  </si>
  <si>
    <t xml:space="preserve"> 0603</t>
  </si>
  <si>
    <t>1206</t>
  </si>
  <si>
    <t xml:space="preserve"> 1206</t>
  </si>
  <si>
    <t>value</t>
  </si>
  <si>
    <t xml:space="preserve">1000 pF </t>
  </si>
  <si>
    <t>0201</t>
  </si>
  <si>
    <t xml:space="preserve">1 pF </t>
  </si>
  <si>
    <t xml:space="preserve">10 uF </t>
  </si>
  <si>
    <t xml:space="preserve">1 uF </t>
  </si>
  <si>
    <t xml:space="preserve">2.2 uF </t>
  </si>
  <si>
    <t xml:space="preserve">0.1 uF </t>
  </si>
  <si>
    <t xml:space="preserve">10000 pF </t>
  </si>
  <si>
    <t xml:space="preserve">220 uF </t>
  </si>
  <si>
    <t>2824</t>
  </si>
  <si>
    <t xml:space="preserve">11 pf </t>
  </si>
  <si>
    <t xml:space="preserve">13 pf </t>
  </si>
  <si>
    <t xml:space="preserve">8.2 pf </t>
  </si>
  <si>
    <t xml:space="preserve">2.2 pf </t>
  </si>
  <si>
    <t>0805</t>
  </si>
  <si>
    <t xml:space="preserve">10 pf </t>
  </si>
  <si>
    <t xml:space="preserve">22pf </t>
  </si>
  <si>
    <t xml:space="preserve">1 uf </t>
  </si>
  <si>
    <t xml:space="preserve">1000 pf </t>
  </si>
  <si>
    <t>2312</t>
  </si>
  <si>
    <t xml:space="preserve">16 uf </t>
  </si>
  <si>
    <t xml:space="preserve">20 pf </t>
  </si>
  <si>
    <t>1608</t>
  </si>
  <si>
    <t xml:space="preserve">10000pf </t>
  </si>
  <si>
    <t xml:space="preserve">2.2 uf </t>
  </si>
  <si>
    <t>T495E227KO16ATE100</t>
  </si>
  <si>
    <t>220uf</t>
  </si>
  <si>
    <t>16V</t>
  </si>
  <si>
    <t>634k</t>
  </si>
  <si>
    <t>250k</t>
  </si>
  <si>
    <t>200k</t>
  </si>
  <si>
    <t>191k</t>
  </si>
  <si>
    <t>60.4k</t>
  </si>
  <si>
    <t>30k</t>
  </si>
  <si>
    <t>16.9k</t>
  </si>
  <si>
    <t>12k</t>
  </si>
  <si>
    <t>6.65k</t>
  </si>
  <si>
    <t>5k</t>
  </si>
  <si>
    <t>3.92k</t>
  </si>
  <si>
    <t>1.5k</t>
  </si>
  <si>
    <t>1.3k</t>
  </si>
  <si>
    <t>1.2k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</si>
  <si>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</si>
  <si>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</si>
  <si>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</si>
  <si>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</si>
  <si>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</si>
  <si>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</si>
  <si>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</si>
  <si>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</si>
  <si>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</si>
  <si>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</si>
  <si>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</si>
  <si>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</si>
  <si>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</si>
  <si>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</si>
  <si>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</si>
  <si>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</si>
  <si>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</si>
  <si>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</si>
  <si>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</si>
  <si>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</si>
  <si>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</si>
  <si>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</si>
  <si>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</si>
  <si>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</si>
  <si>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</si>
  <si>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Automated label classification</t>
  </si>
  <si>
    <t>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</si>
</sst>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AC86"/>
  <sheetViews>
    <sheetView tabSelected="1" zoomScale="115" zoomScaleNormal="115" workbookViewId="0">
      <selection activeCell="A3" sqref="A3"/>
    </sheetView>
  </sheetViews>
  <sheetFormatPr defaultRowHeight="13.8"/>
  <cols>
    <col min="2" max="4" width="10.59765625" customWidth="1"/>
    <col min="5" max="5" width="19.69921875" customWidth="1"/>
    <col min="6" max="6" width="21.19921875" customWidth="1"/>
    <col min="7" max="7" width="10.8984375" customWidth="1"/>
    <col min="8" max="8" width="13.5" customWidth="1"/>
    <col min="9" max="9" width="12.796875" customWidth="1"/>
    <col min="10" max="13" width="18.69921875" customWidth="1"/>
    <col min="14" max="14" width="15.69921875" customWidth="1"/>
    <col min="15" max="15" width="20.5" customWidth="1"/>
    <col min="16" max="16" width="14.8984375" customWidth="1"/>
    <col min="17" max="17" width="27.19921875" customWidth="1"/>
    <col min="18" max="20" width="15.3984375" customWidth="1"/>
    <col min="21" max="23" width="33.09765625" customWidth="1"/>
    <col min="24" max="27" width="49.8984375" customWidth="1"/>
    <col min="28" max="28" width="32.5" customWidth="1"/>
    <col min="29" max="29" width="33.59765625" customWidth="1"/>
  </cols>
  <sheetData>
    <row r="1" spans="1:29">
      <c r="A1" s="13" t="s">
        <v>82</v>
      </c>
      <c r="B1" s="13"/>
      <c r="C1" s="13"/>
      <c r="D1" s="13"/>
      <c r="E1" s="13"/>
      <c r="F1" s="14" t="s">
        <v>0</v>
      </c>
      <c r="G1" s="14"/>
      <c r="H1" s="14"/>
      <c r="I1" s="14"/>
      <c r="J1" s="14"/>
      <c r="K1" s="15" t="s">
        <v>83</v>
      </c>
      <c r="L1" s="15"/>
      <c r="M1" s="15"/>
      <c r="N1" s="15"/>
      <c r="O1" s="1" t="s">
        <v>1</v>
      </c>
      <c r="P1" s="16" t="s">
        <v>2</v>
      </c>
      <c r="Q1" s="16"/>
      <c r="R1" s="1" t="s">
        <v>12</v>
      </c>
      <c r="S1" s="1" t="s">
        <v>84</v>
      </c>
      <c r="T1" s="1" t="s">
        <v>45</v>
      </c>
      <c r="U1" s="1" t="s">
        <v>25</v>
      </c>
      <c r="V1" s="1" t="s">
        <v>58</v>
      </c>
      <c r="W1" s="1" t="s">
        <v>56</v>
      </c>
      <c r="X1" s="1" t="s">
        <v>44</v>
      </c>
      <c r="Y1" s="1" t="s">
        <v>77</v>
      </c>
      <c r="Z1" s="1" t="s">
        <v>37</v>
      </c>
      <c r="AA1" s="1" t="s">
        <v>69</v>
      </c>
      <c r="AB1" s="1" t="s">
        <v>3</v>
      </c>
      <c r="AC1" s="1" t="s">
        <v>154</v>
      </c>
    </row>
    <row r="2" spans="1:29">
      <c r="A2" t="s">
        <v>188</v>
      </c>
      <c r="B2" t="s">
        <v>189</v>
      </c>
      <c r="C2" s="3" t="s">
        <v>249</v>
      </c>
      <c r="D2" t="s">
        <v>191</v>
      </c>
      <c r="E2" s="2" t="s">
        <v>190</v>
      </c>
      <c r="F2" s="2" t="s">
        <v>188</v>
      </c>
      <c r="G2" s="2" t="s">
        <v>205</v>
      </c>
      <c r="H2" s="11" t="s">
        <v>254</v>
      </c>
      <c r="I2" s="2" t="s">
        <v>191</v>
      </c>
      <c r="J2" s="2" t="s">
        <v>190</v>
      </c>
      <c r="K2" t="s">
        <v>188</v>
      </c>
      <c r="L2" t="s">
        <v>250</v>
      </c>
      <c r="M2" t="s">
        <v>191</v>
      </c>
      <c r="N2" s="2" t="s">
        <v>190</v>
      </c>
      <c r="O2" t="s">
        <v>5</v>
      </c>
      <c r="P2" s="12" t="s">
        <v>188</v>
      </c>
      <c r="Q2" s="12" t="s">
        <v>253</v>
      </c>
      <c r="R2" t="s">
        <v>13</v>
      </c>
      <c r="S2" t="s">
        <v>85</v>
      </c>
      <c r="T2" t="s">
        <v>46</v>
      </c>
      <c r="U2" t="s">
        <v>26</v>
      </c>
      <c r="V2" t="s">
        <v>59</v>
      </c>
      <c r="W2" t="s">
        <v>57</v>
      </c>
      <c r="X2" t="s">
        <v>43</v>
      </c>
      <c r="Y2" t="s">
        <v>78</v>
      </c>
      <c r="Z2" t="s">
        <v>67</v>
      </c>
      <c r="AA2" t="s">
        <v>70</v>
      </c>
      <c r="AB2" t="s">
        <v>9</v>
      </c>
      <c r="AC2" t="s">
        <v>155</v>
      </c>
    </row>
    <row r="3" spans="1:29">
      <c r="B3" s="8" t="s">
        <v>234</v>
      </c>
      <c r="C3">
        <f>IF(RIGHT(B3,1)="K",VALUE(LEFT(B3,LEN(B3)-1))*1000,VALUE(B3))</f>
        <v>634000</v>
      </c>
      <c r="E3" s="6" t="s">
        <v>196</v>
      </c>
      <c r="F3" s="6"/>
      <c r="G3" s="10" t="s">
        <v>208</v>
      </c>
      <c r="H3" s="2">
        <f>IF(ISNUMBER(SEARCH("pF",G3)), VALUE(LEFT(G3,SEARCH("pF",G3)-1)),
 IF(ISNUMBER(SEARCH("nF",G3)), VALUE(LEFT(G3,SEARCH("nF",G3)-1))*1000,
 IF(ISNUMBER(SEARCH("uF",G3)), VALUE(LEFT(G3,SEARCH("uF",G3)-1))*1000000,"")))</f>
        <v>1</v>
      </c>
      <c r="I3" s="6"/>
      <c r="J3" s="4" t="s">
        <v>193</v>
      </c>
      <c r="K3" s="4"/>
      <c r="L3" s="4" t="s">
        <v>251</v>
      </c>
      <c r="M3" s="4"/>
      <c r="N3" s="4" t="s">
        <v>194</v>
      </c>
      <c r="O3" t="s">
        <v>60</v>
      </c>
      <c r="Q3" t="s">
        <v>6</v>
      </c>
      <c r="R3" t="s">
        <v>75</v>
      </c>
      <c r="S3" t="s">
        <v>86</v>
      </c>
      <c r="T3" t="s">
        <v>47</v>
      </c>
      <c r="U3" t="s">
        <v>27</v>
      </c>
      <c r="X3" t="s">
        <v>42</v>
      </c>
      <c r="Z3" t="s">
        <v>57</v>
      </c>
      <c r="AA3" t="s">
        <v>71</v>
      </c>
      <c r="AB3" t="s">
        <v>10</v>
      </c>
      <c r="AC3" t="s">
        <v>156</v>
      </c>
    </row>
    <row r="4" spans="1:29">
      <c r="B4" s="8" t="s">
        <v>235</v>
      </c>
      <c r="C4">
        <f>IF(RIGHT(B4,1)="k", VALUE(LEFT(B4,LEN(B4)-1))*1000, VALUE(B4))</f>
        <v>250000</v>
      </c>
      <c r="E4" s="6" t="s">
        <v>196</v>
      </c>
      <c r="F4" s="6"/>
      <c r="G4" s="10" t="s">
        <v>208</v>
      </c>
      <c r="H4" s="2">
        <f>IF(ISNUMBER(SEARCH("pF",G4)), VALUE(LEFT(G4,SEARCH("pF",G4)-1)),
 IF(ISNUMBER(SEARCH("nF",G4)), VALUE(LEFT(G4,SEARCH("nF",G4)-1))*1000,
 IF(ISNUMBER(SEARCH("uF",G4)), VALUE(LEFT(G4,SEARCH("uF",G4)-1))*1000000,"")))</f>
        <v>1</v>
      </c>
      <c r="I4" s="6"/>
      <c r="J4" s="4" t="s">
        <v>193</v>
      </c>
      <c r="K4" s="4"/>
      <c r="L4" s="4" t="s">
        <v>252</v>
      </c>
      <c r="M4" s="4"/>
      <c r="N4" s="4" t="s">
        <v>194</v>
      </c>
      <c r="O4" t="s">
        <v>72</v>
      </c>
      <c r="Q4" t="s">
        <v>7</v>
      </c>
      <c r="T4" t="s">
        <v>48</v>
      </c>
      <c r="U4" t="s">
        <v>28</v>
      </c>
      <c r="X4" t="s">
        <v>89</v>
      </c>
      <c r="AB4" t="s">
        <v>11</v>
      </c>
      <c r="AC4" t="s">
        <v>157</v>
      </c>
    </row>
    <row r="5" spans="1:29">
      <c r="B5" s="8" t="s">
        <v>236</v>
      </c>
      <c r="C5">
        <f t="shared" ref="C5:C38" si="0">IF(RIGHT(B5,1)="k", VALUE(LEFT(B5,LEN(B5)-1))*1000, VALUE(B5))</f>
        <v>200000</v>
      </c>
      <c r="E5" s="6" t="s">
        <v>196</v>
      </c>
      <c r="F5" s="6"/>
      <c r="G5" s="10" t="s">
        <v>219</v>
      </c>
      <c r="H5" s="2">
        <f>IF(ISNUMBER(SEARCH("pF",G5)), VALUE(LEFT(G5,SEARCH("pF",G5)-1)),
 IF(ISNUMBER(SEARCH("nF",G5)), VALUE(LEFT(G5,SEARCH("nF",G5)-1))*1000,
 IF(ISNUMBER(SEARCH("uF",G5)), VALUE(LEFT(G5,SEARCH("uF",G5)-1))*1000000,"")))</f>
        <v>2.2000000000000002</v>
      </c>
      <c r="I5" s="6"/>
      <c r="J5" s="4" t="s">
        <v>194</v>
      </c>
      <c r="K5" s="4"/>
      <c r="L5" s="4"/>
      <c r="M5" s="4"/>
      <c r="O5" t="s">
        <v>91</v>
      </c>
      <c r="Q5" t="s">
        <v>8</v>
      </c>
      <c r="T5" t="s">
        <v>49</v>
      </c>
      <c r="U5" t="s">
        <v>29</v>
      </c>
      <c r="AB5" t="s">
        <v>14</v>
      </c>
      <c r="AC5" t="s">
        <v>158</v>
      </c>
    </row>
    <row r="6" spans="1:29">
      <c r="B6" s="8" t="s">
        <v>237</v>
      </c>
      <c r="C6">
        <f>IF(RIGHT(B6,1)="k", VALUE(LEFT(B6,LEN(B6)-1))*1000, VALUE(B6))</f>
        <v>191000</v>
      </c>
      <c r="E6" s="6" t="s">
        <v>202</v>
      </c>
      <c r="F6" s="6"/>
      <c r="G6" s="10" t="s">
        <v>218</v>
      </c>
      <c r="H6" s="2">
        <f>IF(ISNUMBER(SEARCH("pF",G6)), VALUE(LEFT(G6,SEARCH("pF",G6)-1)),
 IF(ISNUMBER(SEARCH("nF",G6)), VALUE(LEFT(G6,SEARCH("nF",G6)-1))*1000,
 IF(ISNUMBER(SEARCH("uF",G6)), VALUE(LEFT(G6,SEARCH("uF",G6)-1))*1000000,"")))</f>
        <v>8.1999999999999993</v>
      </c>
      <c r="I6" s="6"/>
      <c r="J6" s="4" t="s">
        <v>194</v>
      </c>
      <c r="K6" s="4"/>
      <c r="L6" s="4"/>
      <c r="M6" s="4"/>
      <c r="Q6" t="s">
        <v>18</v>
      </c>
      <c r="T6" t="s">
        <v>50</v>
      </c>
      <c r="U6" t="s">
        <v>30</v>
      </c>
      <c r="AB6" t="s">
        <v>20</v>
      </c>
      <c r="AC6" t="s">
        <v>159</v>
      </c>
    </row>
    <row r="7" spans="1:29">
      <c r="B7" s="8" t="s">
        <v>201</v>
      </c>
      <c r="C7">
        <f t="shared" si="0"/>
        <v>82000</v>
      </c>
      <c r="E7" s="6" t="s">
        <v>193</v>
      </c>
      <c r="F7" s="5"/>
      <c r="G7" s="10" t="s">
        <v>221</v>
      </c>
      <c r="H7" s="2">
        <f>IF(ISNUMBER(SEARCH("pF",G7)), VALUE(LEFT(G7,SEARCH("pF",G7)-1)),
 IF(ISNUMBER(SEARCH("nF",G7)), VALUE(LEFT(G7,SEARCH("nF",G7)-1))*1000,
 IF(ISNUMBER(SEARCH("uF",G7)), VALUE(LEFT(G7,SEARCH("uF",G7)-1))*1000000,"")))</f>
        <v>10</v>
      </c>
      <c r="I7" s="6"/>
      <c r="J7" s="4" t="s">
        <v>220</v>
      </c>
      <c r="Q7" t="s">
        <v>19</v>
      </c>
      <c r="T7" t="s">
        <v>51</v>
      </c>
      <c r="U7" t="s">
        <v>32</v>
      </c>
      <c r="AB7" t="s">
        <v>21</v>
      </c>
      <c r="AC7" t="s">
        <v>160</v>
      </c>
    </row>
    <row r="8" spans="1:29">
      <c r="B8" s="8" t="s">
        <v>238</v>
      </c>
      <c r="C8">
        <f t="shared" si="0"/>
        <v>60400</v>
      </c>
      <c r="E8" s="6" t="s">
        <v>202</v>
      </c>
      <c r="F8" s="6"/>
      <c r="G8" s="10" t="s">
        <v>216</v>
      </c>
      <c r="H8" s="2">
        <f>IF(ISNUMBER(SEARCH("pF",G8)), VALUE(LEFT(G8,SEARCH("pF",G8)-1)),
 IF(ISNUMBER(SEARCH("nF",G8)), VALUE(LEFT(G8,SEARCH("nF",G8)-1))*1000,
 IF(ISNUMBER(SEARCH("uF",G8)), VALUE(LEFT(G8,SEARCH("uF",G8)-1))*1000000,"")))</f>
        <v>11</v>
      </c>
      <c r="I8" s="6"/>
      <c r="J8" s="4" t="s">
        <v>194</v>
      </c>
      <c r="K8" s="4"/>
      <c r="L8" s="4"/>
      <c r="M8" s="4"/>
      <c r="Q8" t="s">
        <v>65</v>
      </c>
      <c r="T8" t="s">
        <v>52</v>
      </c>
      <c r="U8" t="s">
        <v>33</v>
      </c>
      <c r="AB8" t="s">
        <v>23</v>
      </c>
      <c r="AC8" t="s">
        <v>161</v>
      </c>
    </row>
    <row r="9" spans="1:29">
      <c r="B9" s="8" t="s">
        <v>199</v>
      </c>
      <c r="C9">
        <f t="shared" si="0"/>
        <v>47000</v>
      </c>
      <c r="E9" s="6" t="s">
        <v>193</v>
      </c>
      <c r="F9" s="6"/>
      <c r="G9" s="10" t="s">
        <v>217</v>
      </c>
      <c r="H9" s="2">
        <f>IF(ISNUMBER(SEARCH("pF",G9)), VALUE(LEFT(G9,SEARCH("pF",G9)-1)),
 IF(ISNUMBER(SEARCH("nF",G9)), VALUE(LEFT(G9,SEARCH("nF",G9)-1))*1000,
 IF(ISNUMBER(SEARCH("uF",G9)), VALUE(LEFT(G9,SEARCH("uF",G9)-1))*1000000,"")))</f>
        <v>13</v>
      </c>
      <c r="I9" s="6"/>
      <c r="J9" s="4" t="s">
        <v>194</v>
      </c>
      <c r="K9" s="4"/>
      <c r="L9" s="4"/>
      <c r="M9" s="4"/>
      <c r="Q9" t="s">
        <v>66</v>
      </c>
      <c r="T9" t="s">
        <v>53</v>
      </c>
      <c r="U9" t="s">
        <v>34</v>
      </c>
      <c r="AB9" t="s">
        <v>24</v>
      </c>
      <c r="AC9" t="s">
        <v>162</v>
      </c>
    </row>
    <row r="10" spans="1:29">
      <c r="B10" s="8" t="s">
        <v>200</v>
      </c>
      <c r="C10">
        <f t="shared" si="0"/>
        <v>38300</v>
      </c>
      <c r="E10" s="6" t="s">
        <v>193</v>
      </c>
      <c r="F10" s="6"/>
      <c r="G10" s="10" t="s">
        <v>227</v>
      </c>
      <c r="H10" s="2">
        <f>IF(ISNUMBER(SEARCH("pF",G10)), VALUE(LEFT(G10,SEARCH("pF",G10)-1)),
 IF(ISNUMBER(SEARCH("nF",G10)), VALUE(LEFT(G10,SEARCH("nF",G10)-1))*1000,
 IF(ISNUMBER(SEARCH("uF",G10)), VALUE(LEFT(G10,SEARCH("uF",G10)-1))*1000000,"")))</f>
        <v>20</v>
      </c>
      <c r="I10" s="6"/>
      <c r="J10" s="4" t="s">
        <v>194</v>
      </c>
      <c r="K10" s="4"/>
      <c r="L10" s="4"/>
      <c r="M10" s="4"/>
      <c r="Q10" t="s">
        <v>73</v>
      </c>
      <c r="T10" t="s">
        <v>54</v>
      </c>
      <c r="U10" t="s">
        <v>79</v>
      </c>
      <c r="AB10" t="s">
        <v>31</v>
      </c>
      <c r="AC10" t="s">
        <v>163</v>
      </c>
    </row>
    <row r="11" spans="1:29">
      <c r="B11" s="8" t="s">
        <v>239</v>
      </c>
      <c r="C11">
        <f t="shared" si="0"/>
        <v>30000</v>
      </c>
      <c r="E11" s="6" t="s">
        <v>194</v>
      </c>
      <c r="F11" s="6"/>
      <c r="G11" s="9" t="s">
        <v>222</v>
      </c>
      <c r="H11" s="2">
        <f>IF(ISNUMBER(SEARCH("pF",G11)), VALUE(LEFT(G11,SEARCH("pF",G11)-1)),
 IF(ISNUMBER(SEARCH("nF",G11)), VALUE(LEFT(G11,SEARCH("nF",G11)-1))*1000,
 IF(ISNUMBER(SEARCH("uF",G11)), VALUE(LEFT(G11,SEARCH("uF",G11)-1))*1000000,"")))</f>
        <v>22</v>
      </c>
      <c r="I11" s="5"/>
      <c r="J11" s="4" t="s">
        <v>203</v>
      </c>
      <c r="Q11" t="s">
        <v>92</v>
      </c>
      <c r="T11" t="s">
        <v>55</v>
      </c>
      <c r="U11" t="s">
        <v>80</v>
      </c>
      <c r="AB11" t="s">
        <v>35</v>
      </c>
      <c r="AC11" t="s">
        <v>164</v>
      </c>
    </row>
    <row r="12" spans="1:29">
      <c r="B12" s="8" t="s">
        <v>197</v>
      </c>
      <c r="C12">
        <f t="shared" si="0"/>
        <v>18000</v>
      </c>
      <c r="E12" s="6" t="s">
        <v>193</v>
      </c>
      <c r="F12" s="6"/>
      <c r="G12" s="10" t="s">
        <v>222</v>
      </c>
      <c r="H12" s="2">
        <f>IF(ISNUMBER(SEARCH("pF",G12)), VALUE(LEFT(G12,SEARCH("pF",G12)-1)),
 IF(ISNUMBER(SEARCH("nF",G12)), VALUE(LEFT(G12,SEARCH("nF",G12)-1))*1000,
 IF(ISNUMBER(SEARCH("uF",G12)), VALUE(LEFT(G12,SEARCH("uF",G12)-1))*1000000,"")))</f>
        <v>22</v>
      </c>
      <c r="I12" s="6"/>
      <c r="J12" s="4" t="s">
        <v>228</v>
      </c>
      <c r="P12" t="s">
        <v>256</v>
      </c>
      <c r="Q12" t="s">
        <v>255</v>
      </c>
      <c r="T12" t="s">
        <v>90</v>
      </c>
      <c r="U12" t="s">
        <v>81</v>
      </c>
      <c r="AB12" t="s">
        <v>36</v>
      </c>
      <c r="AC12" t="s">
        <v>165</v>
      </c>
    </row>
    <row r="13" spans="1:29">
      <c r="B13" s="8" t="s">
        <v>240</v>
      </c>
      <c r="C13">
        <f t="shared" si="0"/>
        <v>16900</v>
      </c>
      <c r="E13" s="6" t="s">
        <v>196</v>
      </c>
      <c r="F13" s="6"/>
      <c r="G13" s="10" t="s">
        <v>22</v>
      </c>
      <c r="H13" s="2">
        <f>IF(ISNUMBER(SEARCH("pF",G13)), VALUE(LEFT(G13,SEARCH("pF",G13)-1)),
 IF(ISNUMBER(SEARCH("nF",G13)), VALUE(LEFT(G13,SEARCH("nF",G13)-1))*1000,
 IF(ISNUMBER(SEARCH("uF",G13)), VALUE(LEFT(G13,SEARCH("uF",G13)-1))*1000000,"")))</f>
        <v>100</v>
      </c>
      <c r="I13" s="6"/>
      <c r="P13" t="s">
        <v>257</v>
      </c>
      <c r="Q13" t="s">
        <v>258</v>
      </c>
      <c r="U13" t="s">
        <v>87</v>
      </c>
      <c r="AC13" t="s">
        <v>166</v>
      </c>
    </row>
    <row r="14" spans="1:29">
      <c r="B14" s="8" t="s">
        <v>241</v>
      </c>
      <c r="C14">
        <f t="shared" si="0"/>
        <v>12000</v>
      </c>
      <c r="E14" s="6" t="s">
        <v>196</v>
      </c>
      <c r="F14" s="5"/>
      <c r="G14" s="9" t="s">
        <v>206</v>
      </c>
      <c r="H14" s="2">
        <f>IF(ISNUMBER(SEARCH("pF",G14)), VALUE(LEFT(G14,SEARCH("pF",G14)-1)),
 IF(ISNUMBER(SEARCH("nF",G14)), VALUE(LEFT(G14,SEARCH("nF",G14)-1))*1000,
 IF(ISNUMBER(SEARCH("uF",G14)), VALUE(LEFT(G14,SEARCH("uF",G14)-1))*1000000,"")))</f>
        <v>1000</v>
      </c>
      <c r="I14" s="5"/>
      <c r="J14" s="4" t="s">
        <v>207</v>
      </c>
      <c r="K14" s="4"/>
      <c r="L14" s="4"/>
      <c r="M14" s="4"/>
      <c r="P14" t="s">
        <v>259</v>
      </c>
      <c r="Q14" t="s">
        <v>260</v>
      </c>
      <c r="U14" t="s">
        <v>93</v>
      </c>
      <c r="AB14" t="s">
        <v>38</v>
      </c>
      <c r="AC14" t="s">
        <v>167</v>
      </c>
    </row>
    <row r="15" spans="1:29">
      <c r="B15" s="8" t="s">
        <v>198</v>
      </c>
      <c r="C15">
        <f>IF(RIGHT(B15,1)="k", VALUE(LEFT(B15,LEN(B15)-1))*1000, VALUE(B15))</f>
        <v>8060.0000000000009</v>
      </c>
      <c r="E15" s="6" t="s">
        <v>193</v>
      </c>
      <c r="F15" s="6"/>
      <c r="G15" s="10" t="s">
        <v>224</v>
      </c>
      <c r="H15" s="2">
        <f>IF(ISNUMBER(SEARCH("pF",G15)), VALUE(LEFT(G15,SEARCH("pF",G15)-1)),
 IF(ISNUMBER(SEARCH("nF",G15)), VALUE(LEFT(G15,SEARCH("nF",G15)-1))*1000,
 IF(ISNUMBER(SEARCH("uF",G15)), VALUE(LEFT(G15,SEARCH("uF",G15)-1))*1000000,"")))</f>
        <v>1000</v>
      </c>
      <c r="I15" s="6"/>
      <c r="J15" s="4" t="s">
        <v>194</v>
      </c>
      <c r="P15" t="s">
        <v>261</v>
      </c>
      <c r="Q15" t="s">
        <v>262</v>
      </c>
      <c r="U15" t="s">
        <v>26</v>
      </c>
      <c r="AB15" t="s">
        <v>39</v>
      </c>
      <c r="AC15" t="s">
        <v>168</v>
      </c>
    </row>
    <row r="16" spans="1:29">
      <c r="B16" s="8" t="s">
        <v>242</v>
      </c>
      <c r="C16">
        <f t="shared" si="0"/>
        <v>6650</v>
      </c>
      <c r="E16" s="6" t="s">
        <v>202</v>
      </c>
      <c r="F16" s="6" t="s">
        <v>231</v>
      </c>
      <c r="G16" s="10" t="s">
        <v>224</v>
      </c>
      <c r="H16" s="2">
        <f>IF(ISNUMBER(SEARCH("pF",G16)), VALUE(LEFT(G16,SEARCH("pF",G16)-1)),
 IF(ISNUMBER(SEARCH("nF",G16)), VALUE(LEFT(G16,SEARCH("nF",G16)-1))*1000,
 IF(ISNUMBER(SEARCH("uF",G16)), VALUE(LEFT(G16,SEARCH("uF",G16)-1))*1000000,"")))</f>
        <v>1000</v>
      </c>
      <c r="I16" s="6"/>
      <c r="J16" s="4" t="s">
        <v>193</v>
      </c>
      <c r="K16" s="4"/>
      <c r="L16" s="4"/>
      <c r="M16" s="4"/>
      <c r="P16" t="s">
        <v>263</v>
      </c>
      <c r="Q16" t="s">
        <v>264</v>
      </c>
      <c r="U16" t="s">
        <v>94</v>
      </c>
      <c r="AC16" t="s">
        <v>169</v>
      </c>
    </row>
    <row r="17" spans="2:29">
      <c r="B17" s="8" t="s">
        <v>243</v>
      </c>
      <c r="C17">
        <f t="shared" si="0"/>
        <v>5000</v>
      </c>
      <c r="E17" s="6" t="s">
        <v>202</v>
      </c>
      <c r="F17" s="6"/>
      <c r="G17" s="10" t="s">
        <v>213</v>
      </c>
      <c r="H17" s="2">
        <f>IF(ISNUMBER(SEARCH("pF",G17)), VALUE(LEFT(G17,SEARCH("pF",G17)-1)),
 IF(ISNUMBER(SEARCH("nF",G17)), VALUE(LEFT(G17,SEARCH("nF",G17)-1))*1000,
 IF(ISNUMBER(SEARCH("uF",G17)), VALUE(LEFT(G17,SEARCH("uF",G17)-1))*1000000,"")))</f>
        <v>10000</v>
      </c>
      <c r="I17" s="6"/>
      <c r="J17" s="4" t="s">
        <v>194</v>
      </c>
      <c r="K17" s="4"/>
      <c r="L17" s="4"/>
      <c r="M17" s="4"/>
      <c r="P17" t="s">
        <v>265</v>
      </c>
      <c r="Q17" t="s">
        <v>266</v>
      </c>
      <c r="U17" t="s">
        <v>95</v>
      </c>
      <c r="AB17" t="s">
        <v>41</v>
      </c>
      <c r="AC17" t="s">
        <v>170</v>
      </c>
    </row>
    <row r="18" spans="2:29">
      <c r="B18" s="8" t="s">
        <v>244</v>
      </c>
      <c r="C18">
        <f t="shared" si="0"/>
        <v>3920</v>
      </c>
      <c r="E18" s="6" t="s">
        <v>202</v>
      </c>
      <c r="F18" s="6"/>
      <c r="G18" s="10" t="s">
        <v>229</v>
      </c>
      <c r="H18" s="2">
        <f>IF(ISNUMBER(SEARCH("pF",G18)), VALUE(LEFT(G18,SEARCH("pF",G18)-1)),
 IF(ISNUMBER(SEARCH("nF",G18)), VALUE(LEFT(G18,SEARCH("nF",G18)-1))*1000,
 IF(ISNUMBER(SEARCH("uF",G18)), VALUE(LEFT(G18,SEARCH("uF",G18)-1))*1000000,"")))</f>
        <v>10000</v>
      </c>
      <c r="I18" s="6"/>
      <c r="J18" s="4" t="s">
        <v>194</v>
      </c>
      <c r="K18" s="4"/>
      <c r="L18" s="4"/>
      <c r="M18" s="4"/>
      <c r="P18" t="s">
        <v>267</v>
      </c>
      <c r="Q18" t="s">
        <v>268</v>
      </c>
      <c r="U18" t="s">
        <v>96</v>
      </c>
      <c r="AB18" t="s">
        <v>61</v>
      </c>
      <c r="AC18" t="s">
        <v>171</v>
      </c>
    </row>
    <row r="19" spans="2:29">
      <c r="B19" s="8" t="s">
        <v>192</v>
      </c>
      <c r="C19">
        <f t="shared" si="0"/>
        <v>3320</v>
      </c>
      <c r="E19" s="5" t="s">
        <v>194</v>
      </c>
      <c r="F19" s="6"/>
      <c r="G19" s="10" t="s">
        <v>212</v>
      </c>
      <c r="H19" s="2">
        <f>IF(ISNUMBER(SEARCH("pF",G19)), VALUE(LEFT(G19,SEARCH("pF",G19)-1)),
 IF(ISNUMBER(SEARCH("nF",G19)), VALUE(LEFT(G19,SEARCH("nF",G19)-1))*1000,
 IF(ISNUMBER(SEARCH("uF",G19)), VALUE(LEFT(G19,SEARCH("uF",G19)-1))*1000000,"")))</f>
        <v>100000</v>
      </c>
      <c r="I19" s="6"/>
      <c r="J19" s="4" t="s">
        <v>193</v>
      </c>
      <c r="K19" s="4"/>
      <c r="L19" s="4"/>
      <c r="M19" s="4"/>
      <c r="P19" s="4" t="s">
        <v>270</v>
      </c>
      <c r="Q19" t="s">
        <v>269</v>
      </c>
      <c r="U19" t="s">
        <v>97</v>
      </c>
      <c r="AB19" t="s">
        <v>62</v>
      </c>
      <c r="AC19" t="s">
        <v>172</v>
      </c>
    </row>
    <row r="20" spans="2:29">
      <c r="B20" s="8" t="s">
        <v>192</v>
      </c>
      <c r="C20">
        <f t="shared" si="0"/>
        <v>3320</v>
      </c>
      <c r="E20" s="6" t="s">
        <v>202</v>
      </c>
      <c r="F20" s="6"/>
      <c r="G20" s="10" t="s">
        <v>88</v>
      </c>
      <c r="H20" s="2">
        <f>IF(ISNUMBER(SEARCH("pF",G20)), VALUE(LEFT(G20,SEARCH("pF",G20)-1)),
 IF(ISNUMBER(SEARCH("nF",G20)), VALUE(LEFT(G20,SEARCH("nF",G20)-1))*1000,
 IF(ISNUMBER(SEARCH("uF",G20)), VALUE(LEFT(G20,SEARCH("uF",G20)-1))*1000000,"")))</f>
        <v>100000</v>
      </c>
      <c r="I20" s="6"/>
      <c r="K20" s="4"/>
      <c r="L20" s="4"/>
      <c r="M20" s="4"/>
      <c r="P20" t="s">
        <v>271</v>
      </c>
      <c r="Q20" t="s">
        <v>272</v>
      </c>
      <c r="U20" t="s">
        <v>113</v>
      </c>
      <c r="AB20" t="s">
        <v>63</v>
      </c>
      <c r="AC20" t="s">
        <v>173</v>
      </c>
    </row>
    <row r="21" spans="2:29">
      <c r="B21" s="8" t="s">
        <v>245</v>
      </c>
      <c r="C21">
        <f t="shared" si="0"/>
        <v>1500</v>
      </c>
      <c r="E21" s="6" t="s">
        <v>202</v>
      </c>
      <c r="F21" s="6"/>
      <c r="G21" s="10" t="s">
        <v>210</v>
      </c>
      <c r="H21" s="2">
        <f>IF(ISNUMBER(SEARCH("pF",G21)), VALUE(LEFT(G21,SEARCH("pF",G21)-1)),
 IF(ISNUMBER(SEARCH("nF",G21)), VALUE(LEFT(G21,SEARCH("nF",G21)-1))*1000,
 IF(ISNUMBER(SEARCH("uF",G21)), VALUE(LEFT(G21,SEARCH("uF",G21)-1))*1000000,"")))</f>
        <v>1000000</v>
      </c>
      <c r="I21" s="6"/>
      <c r="J21" s="4" t="s">
        <v>194</v>
      </c>
      <c r="K21" s="4"/>
      <c r="L21" s="4"/>
      <c r="M21" s="4"/>
      <c r="P21" t="s">
        <v>274</v>
      </c>
      <c r="Q21" t="s">
        <v>274</v>
      </c>
      <c r="U21" t="s">
        <v>98</v>
      </c>
      <c r="AB21" t="s">
        <v>40</v>
      </c>
      <c r="AC21" t="s">
        <v>174</v>
      </c>
    </row>
    <row r="22" spans="2:29">
      <c r="B22" s="8" t="s">
        <v>246</v>
      </c>
      <c r="C22">
        <f>IF(RIGHT(B22,1)="k", VALUE(LEFT(B22,LEN(B22)-1))*1000, VALUE(B22))</f>
        <v>1300</v>
      </c>
      <c r="E22" s="6" t="s">
        <v>194</v>
      </c>
      <c r="F22" s="6"/>
      <c r="G22" s="10" t="s">
        <v>223</v>
      </c>
      <c r="H22" s="2">
        <f>IF(ISNUMBER(SEARCH("pF",G22)), VALUE(LEFT(G22,SEARCH("pF",G22)-1)),
 IF(ISNUMBER(SEARCH("nF",G22)), VALUE(LEFT(G22,SEARCH("nF",G22)-1))*1000,
 IF(ISNUMBER(SEARCH("uF",G22)), VALUE(LEFT(G22,SEARCH("uF",G22)-1))*1000000,"")))</f>
        <v>1000000</v>
      </c>
      <c r="I22" s="6"/>
      <c r="J22" s="4" t="s">
        <v>194</v>
      </c>
      <c r="K22" s="4"/>
      <c r="L22" s="4"/>
      <c r="M22" s="4"/>
      <c r="U22" t="s">
        <v>99</v>
      </c>
      <c r="AB22" t="s">
        <v>64</v>
      </c>
      <c r="AC22" t="s">
        <v>175</v>
      </c>
    </row>
    <row r="23" spans="2:29">
      <c r="B23" s="8" t="s">
        <v>246</v>
      </c>
      <c r="C23">
        <f t="shared" si="0"/>
        <v>1300</v>
      </c>
      <c r="E23" s="6" t="s">
        <v>204</v>
      </c>
      <c r="F23" s="6"/>
      <c r="G23" s="10" t="s">
        <v>210</v>
      </c>
      <c r="H23" s="2">
        <f>IF(ISNUMBER(SEARCH("pF",G23)), VALUE(LEFT(G23,SEARCH("pF",G23)-1)),
 IF(ISNUMBER(SEARCH("nF",G23)), VALUE(LEFT(G23,SEARCH("nF",G23)-1))*1000,
 IF(ISNUMBER(SEARCH("uF",G23)), VALUE(LEFT(G23,SEARCH("uF",G23)-1))*1000000,"")))</f>
        <v>1000000</v>
      </c>
      <c r="I23" s="6"/>
      <c r="J23" s="4" t="s">
        <v>194</v>
      </c>
      <c r="K23" s="4"/>
      <c r="L23" s="4"/>
      <c r="M23" s="4"/>
      <c r="U23" t="s">
        <v>100</v>
      </c>
      <c r="AB23" t="s">
        <v>68</v>
      </c>
      <c r="AC23" t="s">
        <v>176</v>
      </c>
    </row>
    <row r="24" spans="2:29">
      <c r="B24" s="8" t="s">
        <v>246</v>
      </c>
      <c r="C24">
        <f t="shared" si="0"/>
        <v>1300</v>
      </c>
      <c r="E24" s="6" t="s">
        <v>202</v>
      </c>
      <c r="F24" s="6"/>
      <c r="G24" s="10" t="s">
        <v>211</v>
      </c>
      <c r="H24" s="2">
        <f>IF(ISNUMBER(SEARCH("pF",G24)), VALUE(LEFT(G24,SEARCH("pF",G24)-1)),
 IF(ISNUMBER(SEARCH("nF",G24)), VALUE(LEFT(G24,SEARCH("nF",G24)-1))*1000,
 IF(ISNUMBER(SEARCH("uF",G24)), VALUE(LEFT(G24,SEARCH("uF",G24)-1))*1000000,"")))</f>
        <v>2200000</v>
      </c>
      <c r="I24" s="6"/>
      <c r="J24" s="4" t="s">
        <v>193</v>
      </c>
      <c r="K24" s="4"/>
      <c r="L24" s="4"/>
      <c r="M24" s="4"/>
      <c r="U24" t="s">
        <v>101</v>
      </c>
      <c r="AB24" t="s">
        <v>74</v>
      </c>
      <c r="AC24" t="s">
        <v>177</v>
      </c>
    </row>
    <row r="25" spans="2:29">
      <c r="B25" s="8" t="s">
        <v>247</v>
      </c>
      <c r="C25">
        <f t="shared" si="0"/>
        <v>1200</v>
      </c>
      <c r="E25" s="6" t="s">
        <v>202</v>
      </c>
      <c r="F25" s="6"/>
      <c r="G25" s="10" t="s">
        <v>230</v>
      </c>
      <c r="H25" s="2">
        <f>IF(ISNUMBER(SEARCH("pF",G25)), VALUE(LEFT(G25,SEARCH("pF",G25)-1)),
 IF(ISNUMBER(SEARCH("nF",G25)), VALUE(LEFT(G25,SEARCH("nF",G25)-1))*1000,
 IF(ISNUMBER(SEARCH("uF",G25)), VALUE(LEFT(G25,SEARCH("uF",G25)-1))*1000000,"")))</f>
        <v>2200000</v>
      </c>
      <c r="I25" s="6"/>
      <c r="J25" s="4" t="s">
        <v>194</v>
      </c>
      <c r="K25" s="4"/>
      <c r="L25" s="4"/>
      <c r="M25" s="4"/>
      <c r="U25" t="s">
        <v>102</v>
      </c>
      <c r="AB25" t="s">
        <v>76</v>
      </c>
      <c r="AC25" t="s">
        <v>178</v>
      </c>
    </row>
    <row r="26" spans="2:29">
      <c r="B26" s="8" t="s">
        <v>195</v>
      </c>
      <c r="C26">
        <f t="shared" si="0"/>
        <v>1050</v>
      </c>
      <c r="E26" s="6" t="s">
        <v>194</v>
      </c>
      <c r="F26" s="6"/>
      <c r="G26" s="10" t="s">
        <v>230</v>
      </c>
      <c r="H26" s="2">
        <f>IF(ISNUMBER(SEARCH("pF",G26)), VALUE(LEFT(G26,SEARCH("pF",G26)-1)),
 IF(ISNUMBER(SEARCH("nF",G26)), VALUE(LEFT(G26,SEARCH("nF",G26)-1))*1000,
 IF(ISNUMBER(SEARCH("uF",G26)), VALUE(LEFT(G26,SEARCH("uF",G26)-1))*1000000,"")))</f>
        <v>2200000</v>
      </c>
      <c r="I26" s="6"/>
      <c r="J26" s="4" t="s">
        <v>194</v>
      </c>
      <c r="K26" s="4"/>
      <c r="L26" s="4"/>
      <c r="M26" s="4"/>
      <c r="U26" t="s">
        <v>103</v>
      </c>
      <c r="AC26" t="s">
        <v>179</v>
      </c>
    </row>
    <row r="27" spans="2:29">
      <c r="B27" s="8" t="s">
        <v>248</v>
      </c>
      <c r="C27">
        <f t="shared" si="0"/>
        <v>1000</v>
      </c>
      <c r="E27" s="6" t="s">
        <v>194</v>
      </c>
      <c r="F27" s="6"/>
      <c r="G27" s="10" t="s">
        <v>209</v>
      </c>
      <c r="H27" s="2">
        <f>IF(ISNUMBER(SEARCH("pF",G27)), VALUE(LEFT(G27,SEARCH("pF",G27)-1)),
 IF(ISNUMBER(SEARCH("nF",G27)), VALUE(LEFT(G27,SEARCH("nF",G27)-1))*1000,
 IF(ISNUMBER(SEARCH("uF",G27)), VALUE(LEFT(G27,SEARCH("uF",G27)-1))*1000000,"")))</f>
        <v>10000000</v>
      </c>
      <c r="I27" s="6"/>
      <c r="J27" s="4" t="s">
        <v>193</v>
      </c>
      <c r="K27" s="4"/>
      <c r="L27" s="4"/>
      <c r="M27" s="4"/>
      <c r="U27" t="s">
        <v>104</v>
      </c>
      <c r="AC27" t="s">
        <v>180</v>
      </c>
    </row>
    <row r="28" spans="2:29">
      <c r="B28" s="8">
        <v>715</v>
      </c>
      <c r="C28">
        <f t="shared" si="0"/>
        <v>715</v>
      </c>
      <c r="E28" s="5" t="s">
        <v>194</v>
      </c>
      <c r="F28" s="6"/>
      <c r="G28" s="10" t="s">
        <v>4</v>
      </c>
      <c r="H28" s="2">
        <f>IF(ISNUMBER(SEARCH("pF",G28)), VALUE(LEFT(G28,SEARCH("pF",G28)-1)),
 IF(ISNUMBER(SEARCH("nF",G28)), VALUE(LEFT(G28,SEARCH("nF",G28)-1))*1000,
 IF(ISNUMBER(SEARCH("uF",G28)), VALUE(LEFT(G28,SEARCH("uF",G28)-1))*1000000,"")))</f>
        <v>10000000</v>
      </c>
      <c r="I28" s="6"/>
      <c r="K28" s="4"/>
      <c r="L28" s="4"/>
      <c r="M28" s="4"/>
      <c r="U28" t="s">
        <v>105</v>
      </c>
      <c r="AC28" t="s">
        <v>181</v>
      </c>
    </row>
    <row r="29" spans="2:29">
      <c r="B29" s="8">
        <v>300</v>
      </c>
      <c r="C29">
        <f t="shared" si="0"/>
        <v>300</v>
      </c>
      <c r="E29" s="6" t="s">
        <v>202</v>
      </c>
      <c r="F29" s="6"/>
      <c r="G29" s="10" t="s">
        <v>209</v>
      </c>
      <c r="H29" s="2">
        <f>IF(ISNUMBER(SEARCH("pF",G29)), VALUE(LEFT(G29,SEARCH("pF",G29)-1)),
 IF(ISNUMBER(SEARCH("nF",G29)), VALUE(LEFT(G29,SEARCH("nF",G29)-1))*1000,
 IF(ISNUMBER(SEARCH("uF",G29)), VALUE(LEFT(G29,SEARCH("uF",G29)-1))*1000000,"")))</f>
        <v>10000000</v>
      </c>
      <c r="I29" s="6"/>
      <c r="J29" s="4" t="s">
        <v>193</v>
      </c>
      <c r="K29" s="4"/>
      <c r="L29" s="4"/>
      <c r="M29" s="4"/>
      <c r="U29" t="s">
        <v>106</v>
      </c>
      <c r="AC29" t="s">
        <v>182</v>
      </c>
    </row>
    <row r="30" spans="2:29">
      <c r="B30" s="8">
        <v>100</v>
      </c>
      <c r="C30">
        <f t="shared" si="0"/>
        <v>100</v>
      </c>
      <c r="E30" s="6" t="s">
        <v>193</v>
      </c>
      <c r="F30" s="6"/>
      <c r="G30" s="10" t="s">
        <v>226</v>
      </c>
      <c r="H30" s="2">
        <f>IF(ISNUMBER(SEARCH("pF",G30)), VALUE(LEFT(G30,SEARCH("pF",G30)-1)),
 IF(ISNUMBER(SEARCH("nF",G30)), VALUE(LEFT(G30,SEARCH("nF",G30)-1))*1000,
 IF(ISNUMBER(SEARCH("uF",G30)), VALUE(LEFT(G30,SEARCH("uF",G30)-1))*1000000,"")))</f>
        <v>16000000</v>
      </c>
      <c r="I30" s="6"/>
      <c r="J30" s="4" t="s">
        <v>225</v>
      </c>
      <c r="K30" s="4"/>
      <c r="L30" s="4"/>
      <c r="M30" s="4"/>
      <c r="U30" t="s">
        <v>107</v>
      </c>
      <c r="AC30" t="s">
        <v>183</v>
      </c>
    </row>
    <row r="31" spans="2:29">
      <c r="B31" s="8">
        <v>91</v>
      </c>
      <c r="C31">
        <f t="shared" si="0"/>
        <v>91</v>
      </c>
      <c r="E31" s="6" t="s">
        <v>194</v>
      </c>
      <c r="F31" s="6"/>
      <c r="G31" s="3" t="s">
        <v>15</v>
      </c>
      <c r="H31" s="2">
        <f>IF(ISNUMBER(SEARCH("pF",G31)), VALUE(LEFT(G31,SEARCH("pF",G31)-1)),
 IF(ISNUMBER(SEARCH("nF",G31)), VALUE(LEFT(G31,SEARCH("nF",G31)-1))*1000,
 IF(ISNUMBER(SEARCH("uF",G31)), VALUE(LEFT(G31,SEARCH("uF",G31)-1))*1000000,"")))</f>
        <v>220000000</v>
      </c>
      <c r="I31" s="6"/>
      <c r="K31" s="4"/>
      <c r="L31" s="4"/>
      <c r="M31" s="4"/>
      <c r="U31" t="s">
        <v>108</v>
      </c>
      <c r="AC31" t="s">
        <v>184</v>
      </c>
    </row>
    <row r="32" spans="2:29">
      <c r="B32" s="8">
        <v>27.4</v>
      </c>
      <c r="C32">
        <f t="shared" si="0"/>
        <v>27.4</v>
      </c>
      <c r="E32" s="6" t="s">
        <v>202</v>
      </c>
      <c r="F32" s="6"/>
      <c r="G32" s="10" t="s">
        <v>214</v>
      </c>
      <c r="H32" s="2">
        <f>IF(ISNUMBER(SEARCH("pF",G32)), VALUE(LEFT(G32,SEARCH("pF",G32)-1)),
 IF(ISNUMBER(SEARCH("nF",G32)), VALUE(LEFT(G32,SEARCH("nF",G32)-1))*1000,
 IF(ISNUMBER(SEARCH("uF",G32)), VALUE(LEFT(G32,SEARCH("uF",G32)-1))*1000000,"")))</f>
        <v>220000000</v>
      </c>
      <c r="I32" s="6"/>
      <c r="J32" s="4" t="s">
        <v>215</v>
      </c>
      <c r="K32" s="4"/>
      <c r="L32" s="4"/>
      <c r="M32" s="4"/>
      <c r="U32" t="s">
        <v>110</v>
      </c>
      <c r="AC32" t="s">
        <v>185</v>
      </c>
    </row>
    <row r="33" spans="2:29">
      <c r="B33" s="8">
        <v>24.9</v>
      </c>
      <c r="C33">
        <f t="shared" si="0"/>
        <v>24.9</v>
      </c>
      <c r="E33" s="6" t="s">
        <v>203</v>
      </c>
      <c r="F33" s="6"/>
      <c r="G33" s="10" t="s">
        <v>232</v>
      </c>
      <c r="H33" s="2">
        <f>IF(ISNUMBER(SEARCH("pF",G33)), VALUE(LEFT(G33,SEARCH("pF",G33)-1)),
 IF(ISNUMBER(SEARCH("nF",G33)), VALUE(LEFT(G33,SEARCH("nF",G33)-1))*1000,
 IF(ISNUMBER(SEARCH("uF",G33)), VALUE(LEFT(G33,SEARCH("uF",G33)-1))*1000000,"")))</f>
        <v>220000000</v>
      </c>
      <c r="I33" s="6" t="s">
        <v>233</v>
      </c>
      <c r="J33" s="4" t="s">
        <v>215</v>
      </c>
      <c r="U33" t="s">
        <v>109</v>
      </c>
      <c r="AC33" t="s">
        <v>186</v>
      </c>
    </row>
    <row r="34" spans="2:29">
      <c r="B34" s="8">
        <v>16.5</v>
      </c>
      <c r="C34">
        <f>IF(RIGHT(B34,1)="k", VALUE(LEFT(B34,LEN(B34)-1))*1000, VALUE(B34))</f>
        <v>16.5</v>
      </c>
      <c r="E34" s="6" t="s">
        <v>193</v>
      </c>
      <c r="F34" s="6"/>
      <c r="G34" s="3" t="s">
        <v>17</v>
      </c>
      <c r="H34" s="2">
        <f>IF(ISNUMBER(SEARCH("pF",G34)), VALUE(LEFT(G34,SEARCH("pF",G34)-1)),
 IF(ISNUMBER(SEARCH("nF",G34)), VALUE(LEFT(G34,SEARCH("nF",G34)-1))*1000,
 IF(ISNUMBER(SEARCH("uF",G34)), VALUE(LEFT(G34,SEARCH("uF",G34)-1))*1000000,"")))</f>
        <v>330000000</v>
      </c>
      <c r="I34" s="5"/>
      <c r="K34" s="4"/>
      <c r="L34" s="4"/>
      <c r="M34" s="4"/>
      <c r="U34" t="s">
        <v>111</v>
      </c>
      <c r="AC34" t="s">
        <v>187</v>
      </c>
    </row>
    <row r="35" spans="2:29">
      <c r="B35" s="8">
        <v>15</v>
      </c>
      <c r="C35">
        <f t="shared" si="0"/>
        <v>15</v>
      </c>
      <c r="E35" s="6" t="s">
        <v>196</v>
      </c>
      <c r="F35" s="5"/>
      <c r="G35" s="3" t="s">
        <v>16</v>
      </c>
      <c r="H35" s="2">
        <f>IF(ISNUMBER(SEARCH("pF",G35)), VALUE(LEFT(G35,SEARCH("pF",G35)-1)),
 IF(ISNUMBER(SEARCH("nF",G35)), VALUE(LEFT(G35,SEARCH("nF",G35)-1))*1000,
 IF(ISNUMBER(SEARCH("uF",G35)), VALUE(LEFT(G35,SEARCH("uF",G35)-1))*1000000,"")))</f>
        <v>470000000</v>
      </c>
      <c r="I35" s="6"/>
      <c r="K35" s="4"/>
      <c r="L35" s="4"/>
      <c r="M35" s="4"/>
      <c r="U35" t="s">
        <v>112</v>
      </c>
    </row>
    <row r="36" spans="2:29">
      <c r="B36" s="8">
        <v>10</v>
      </c>
      <c r="C36">
        <f t="shared" si="0"/>
        <v>10</v>
      </c>
      <c r="E36" s="6" t="s">
        <v>194</v>
      </c>
      <c r="F36" s="6"/>
      <c r="G36" s="6"/>
      <c r="H36" s="6"/>
      <c r="I36" s="6"/>
      <c r="U36" t="s">
        <v>114</v>
      </c>
    </row>
    <row r="37" spans="2:29">
      <c r="B37" s="8">
        <v>0</v>
      </c>
      <c r="C37">
        <f t="shared" si="0"/>
        <v>0</v>
      </c>
      <c r="E37" s="5" t="s">
        <v>193</v>
      </c>
      <c r="F37" s="6"/>
      <c r="G37" s="6"/>
      <c r="H37" s="6"/>
      <c r="I37" s="6"/>
      <c r="U37" t="s">
        <v>115</v>
      </c>
    </row>
    <row r="38" spans="2:29">
      <c r="B38" s="8">
        <v>0</v>
      </c>
      <c r="C38">
        <f>IF(RIGHT(B38,1)="k", VALUE(LEFT(B38,LEN(B38)-1))*1000, VALUE(B38))</f>
        <v>0</v>
      </c>
      <c r="E38" s="6" t="s">
        <v>202</v>
      </c>
      <c r="G38" s="6"/>
      <c r="H38" s="6"/>
      <c r="I38" s="6"/>
      <c r="U38" t="s">
        <v>116</v>
      </c>
    </row>
    <row r="39" spans="2:29">
      <c r="B39" s="7"/>
      <c r="C39" s="7"/>
      <c r="U39" t="s">
        <v>117</v>
      </c>
    </row>
    <row r="40" spans="2:29">
      <c r="B40" s="3"/>
      <c r="C40" s="3"/>
      <c r="U40" t="s">
        <v>118</v>
      </c>
    </row>
    <row r="41" spans="2:29">
      <c r="B41" s="3"/>
      <c r="C41" s="3"/>
      <c r="U41" t="s">
        <v>119</v>
      </c>
    </row>
    <row r="42" spans="2:29">
      <c r="B42" s="3"/>
      <c r="C42" s="3"/>
      <c r="U42" t="s">
        <v>120</v>
      </c>
    </row>
    <row r="43" spans="2:29">
      <c r="U43" t="s">
        <v>121</v>
      </c>
    </row>
    <row r="44" spans="2:29">
      <c r="U44" t="s">
        <v>122</v>
      </c>
    </row>
    <row r="45" spans="2:29">
      <c r="U45" t="s">
        <v>123</v>
      </c>
    </row>
    <row r="46" spans="2:29">
      <c r="U46" t="s">
        <v>124</v>
      </c>
    </row>
    <row r="47" spans="2:29">
      <c r="U47" t="s">
        <v>125</v>
      </c>
    </row>
    <row r="48" spans="2:29">
      <c r="U48" t="s">
        <v>126</v>
      </c>
    </row>
    <row r="49" spans="21:21">
      <c r="U49" t="s">
        <v>127</v>
      </c>
    </row>
    <row r="50" spans="21:21">
      <c r="U50" t="s">
        <v>128</v>
      </c>
    </row>
    <row r="51" spans="21:21">
      <c r="U51" t="s">
        <v>129</v>
      </c>
    </row>
    <row r="52" spans="21:21">
      <c r="U52" t="s">
        <v>130</v>
      </c>
    </row>
    <row r="53" spans="21:21">
      <c r="U53" t="s">
        <v>131</v>
      </c>
    </row>
    <row r="54" spans="21:21">
      <c r="U54" t="s">
        <v>132</v>
      </c>
    </row>
    <row r="55" spans="21:21">
      <c r="U55" t="s">
        <v>133</v>
      </c>
    </row>
    <row r="56" spans="21:21">
      <c r="U56" t="s">
        <v>134</v>
      </c>
    </row>
    <row r="57" spans="21:21">
      <c r="U57" t="s">
        <v>135</v>
      </c>
    </row>
    <row r="58" spans="21:21">
      <c r="U58" t="s">
        <v>136</v>
      </c>
    </row>
    <row r="59" spans="21:21">
      <c r="U59" t="s">
        <v>137</v>
      </c>
    </row>
    <row r="60" spans="21:21">
      <c r="U60" t="s">
        <v>138</v>
      </c>
    </row>
    <row r="61" spans="21:21">
      <c r="U61" t="s">
        <v>135</v>
      </c>
    </row>
    <row r="62" spans="21:21">
      <c r="U62" t="s">
        <v>139</v>
      </c>
    </row>
    <row r="63" spans="21:21">
      <c r="U63" t="s">
        <v>140</v>
      </c>
    </row>
    <row r="64" spans="21:21">
      <c r="U64" t="s">
        <v>141</v>
      </c>
    </row>
    <row r="65" spans="21:21">
      <c r="U65" t="s">
        <v>142</v>
      </c>
    </row>
    <row r="66" spans="21:21">
      <c r="U66" t="s">
        <v>143</v>
      </c>
    </row>
    <row r="67" spans="21:21">
      <c r="U67" t="s">
        <v>144</v>
      </c>
    </row>
    <row r="68" spans="21:21">
      <c r="U68" t="s">
        <v>145</v>
      </c>
    </row>
    <row r="69" spans="21:21">
      <c r="U69" t="s">
        <v>146</v>
      </c>
    </row>
    <row r="70" spans="21:21">
      <c r="U70" t="s">
        <v>147</v>
      </c>
    </row>
    <row r="71" spans="21:21">
      <c r="U71" t="s">
        <v>148</v>
      </c>
    </row>
    <row r="72" spans="21:21">
      <c r="U72" t="s">
        <v>124</v>
      </c>
    </row>
    <row r="73" spans="21:21">
      <c r="U73" t="s">
        <v>149</v>
      </c>
    </row>
    <row r="74" spans="21:21">
      <c r="U74" t="s">
        <v>150</v>
      </c>
    </row>
    <row r="75" spans="21:21">
      <c r="U75" t="s">
        <v>151</v>
      </c>
    </row>
    <row r="76" spans="21:21">
      <c r="U76" t="s">
        <v>152</v>
      </c>
    </row>
    <row r="77" spans="21:21">
      <c r="U77" t="s">
        <v>153</v>
      </c>
    </row>
    <row r="82" spans="13:15">
      <c r="M82" s="17" t="s">
        <v>273</v>
      </c>
      <c r="N82" s="17"/>
      <c r="O82" s="17"/>
    </row>
    <row r="83" spans="13:15">
      <c r="M83" s="17"/>
      <c r="N83" s="17"/>
      <c r="O83" s="17"/>
    </row>
    <row r="84" spans="13:15">
      <c r="M84" s="17"/>
      <c r="N84" s="17"/>
      <c r="O84" s="17"/>
    </row>
    <row r="85" spans="13:15">
      <c r="M85" s="17"/>
      <c r="N85" s="17"/>
      <c r="O85" s="17"/>
    </row>
    <row r="86" spans="13:15">
      <c r="M86" s="17"/>
      <c r="N86" s="17"/>
      <c r="O86" s="17"/>
    </row>
  </sheetData>
  <sortState ref="F3:J35">
    <sortCondition ref="H3:H35"/>
  </sortState>
  <mergeCells count="5">
    <mergeCell ref="A1:E1"/>
    <mergeCell ref="F1:J1"/>
    <mergeCell ref="K1:N1"/>
    <mergeCell ref="P1:Q1"/>
    <mergeCell ref="M82:O8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_0201</vt:lpstr>
      <vt:lpstr>Sheet1!daass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2025-12-05T23:01:58Z</dcterms:modified>
</cp:coreProperties>
</file>