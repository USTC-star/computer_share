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wave\Desktop\share document\"/>
    </mc:Choice>
  </mc:AlternateContent>
  <xr:revisionPtr revIDLastSave="0" documentId="13_ncr:1_{2BA9C8D6-A471-4F70-B406-2C7FA61A6483}" xr6:coauthVersionLast="36" xr6:coauthVersionMax="47" xr10:uidLastSave="{00000000-0000-0000-0000-000000000000}"/>
  <bookViews>
    <workbookView xWindow="-120" yWindow="-120" windowWidth="25440" windowHeight="15396" xr2:uid="{4EF1B334-B9A4-468B-ADB9-1CC422E31F4C}"/>
  </bookViews>
  <sheets>
    <sheet name="Sheet1" sheetId="1" r:id="rId1"/>
  </sheets>
  <definedNames>
    <definedName name="_0201">Sheet1!$K$3</definedName>
    <definedName name="_xlnm._FilterDatabase" localSheetId="0" hidden="1">Sheet1!$A$3:$E$85</definedName>
    <definedName name="daass" comment="sdas" localSheetId="0">Sheet1!$K$3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54" i="1"/>
  <c r="H55" i="1"/>
  <c r="H56" i="1"/>
  <c r="H57" i="1"/>
  <c r="H58" i="1"/>
  <c r="H59" i="1"/>
  <c r="H60" i="1"/>
  <c r="H61" i="1"/>
  <c r="H62" i="1"/>
  <c r="H63" i="1"/>
  <c r="H47" i="1"/>
  <c r="H48" i="1"/>
  <c r="H49" i="1"/>
  <c r="H50" i="1"/>
  <c r="H51" i="1"/>
  <c r="H52" i="1"/>
  <c r="H53" i="1"/>
  <c r="H46" i="1"/>
  <c r="H40" i="1"/>
  <c r="H41" i="1"/>
  <c r="H42" i="1"/>
  <c r="H43" i="1"/>
  <c r="H44" i="1"/>
  <c r="H45" i="1"/>
  <c r="H36" i="1"/>
  <c r="H37" i="1"/>
  <c r="H38" i="1"/>
  <c r="H39" i="1"/>
  <c r="H17" i="1" l="1"/>
  <c r="H4" i="1"/>
  <c r="H7" i="1"/>
  <c r="H5" i="1"/>
  <c r="H31" i="1"/>
  <c r="H28" i="1"/>
  <c r="H16" i="1"/>
  <c r="H29" i="1"/>
  <c r="H18" i="1"/>
  <c r="H30" i="1"/>
  <c r="H15" i="1"/>
  <c r="H35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1" i="1" l="1"/>
  <c r="C112" i="1"/>
  <c r="C113" i="1"/>
  <c r="C114" i="1"/>
  <c r="C115" i="1"/>
  <c r="H21" i="1"/>
  <c r="H3" i="1"/>
  <c r="H27" i="1"/>
  <c r="H10" i="1"/>
  <c r="H14" i="1"/>
  <c r="H33" i="1"/>
  <c r="H6" i="1"/>
  <c r="H11" i="1"/>
  <c r="H13" i="1"/>
  <c r="H34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87" i="1"/>
  <c r="C88" i="1"/>
  <c r="C89" i="1"/>
  <c r="C86" i="1"/>
  <c r="C6" i="1" l="1"/>
  <c r="C19" i="1"/>
  <c r="C45" i="1"/>
  <c r="C27" i="1"/>
  <c r="C20" i="1"/>
  <c r="C26" i="1"/>
  <c r="C8" i="1"/>
  <c r="C7" i="1"/>
  <c r="C24" i="1"/>
  <c r="C78" i="1"/>
  <c r="C83" i="1"/>
  <c r="C80" i="1"/>
  <c r="C63" i="1"/>
  <c r="C5" i="1"/>
  <c r="C23" i="1"/>
  <c r="C30" i="1"/>
  <c r="C34" i="1"/>
  <c r="C28" i="1"/>
  <c r="C10" i="1"/>
  <c r="C14" i="1"/>
  <c r="C18" i="1"/>
  <c r="C74" i="1" l="1"/>
  <c r="C76" i="1"/>
  <c r="C69" i="1"/>
  <c r="C60" i="1"/>
  <c r="C44" i="1"/>
  <c r="C53" i="1"/>
  <c r="C52" i="1"/>
  <c r="C65" i="1"/>
  <c r="C57" i="1"/>
  <c r="C49" i="1"/>
  <c r="C64" i="1"/>
  <c r="C62" i="1"/>
  <c r="C59" i="1"/>
  <c r="C67" i="1"/>
  <c r="C29" i="1"/>
  <c r="C16" i="1"/>
  <c r="C79" i="1"/>
  <c r="C77" i="1"/>
  <c r="C75" i="1"/>
  <c r="C55" i="1"/>
  <c r="C31" i="1"/>
  <c r="C25" i="1"/>
  <c r="C68" i="1"/>
  <c r="C33" i="1"/>
  <c r="C35" i="1"/>
  <c r="C17" i="1"/>
  <c r="C85" i="1" l="1"/>
  <c r="C84" i="1"/>
  <c r="C81" i="1"/>
  <c r="C4" i="1"/>
  <c r="H8" i="1"/>
  <c r="C40" i="1" l="1"/>
  <c r="C41" i="1"/>
  <c r="C42" i="1"/>
  <c r="C39" i="1"/>
  <c r="C38" i="1"/>
  <c r="C37" i="1"/>
  <c r="C36" i="1"/>
  <c r="C32" i="1"/>
  <c r="C22" i="1"/>
  <c r="C21" i="1"/>
  <c r="C15" i="1"/>
  <c r="C13" i="1"/>
  <c r="C12" i="1"/>
  <c r="C11" i="1"/>
  <c r="C9" i="1"/>
  <c r="C3" i="1"/>
  <c r="C54" i="1"/>
  <c r="C51" i="1"/>
  <c r="C50" i="1"/>
  <c r="C48" i="1"/>
  <c r="C46" i="1"/>
  <c r="C47" i="1"/>
  <c r="C43" i="1"/>
  <c r="C82" i="1"/>
  <c r="C73" i="1"/>
  <c r="C72" i="1"/>
  <c r="C71" i="1"/>
  <c r="C70" i="1"/>
  <c r="C66" i="1"/>
  <c r="C61" i="1"/>
  <c r="C58" i="1"/>
  <c r="C56" i="1"/>
  <c r="H32" i="1"/>
  <c r="H22" i="1"/>
  <c r="H23" i="1"/>
  <c r="H19" i="1"/>
  <c r="H12" i="1"/>
  <c r="H20" i="1"/>
  <c r="H25" i="1"/>
  <c r="H24" i="1"/>
  <c r="H26" i="1"/>
  <c r="H9" i="1"/>
</calcChain>
</file>

<file path=xl/sharedStrings.xml><?xml version="1.0" encoding="utf-8"?>
<sst xmlns="http://schemas.openxmlformats.org/spreadsheetml/2006/main" count="854" uniqueCount="617">
  <si>
    <t>capacitors</t>
  </si>
  <si>
    <t>amps</t>
  </si>
  <si>
    <t>connectors</t>
  </si>
  <si>
    <t>misc</t>
  </si>
  <si>
    <t>RF LVA-123+</t>
  </si>
  <si>
    <t>WR-FPC</t>
  </si>
  <si>
    <t>SMA</t>
  </si>
  <si>
    <t>BNC</t>
  </si>
  <si>
    <t>RF-Reciever Board</t>
  </si>
  <si>
    <t>Hi-temp epoxy</t>
  </si>
  <si>
    <t>digital mini scale 001g</t>
  </si>
  <si>
    <t>Cables</t>
  </si>
  <si>
    <t>0.5mm FFC</t>
  </si>
  <si>
    <t>binder clip</t>
  </si>
  <si>
    <t>220 uF</t>
  </si>
  <si>
    <t>BLK</t>
  </si>
  <si>
    <t>type c</t>
  </si>
  <si>
    <t>DC boards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</si>
  <si>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</si>
  <si>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</si>
  <si>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</si>
  <si>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</si>
  <si>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</si>
  <si>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</si>
  <si>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</si>
  <si>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</si>
  <si>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</si>
  <si>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</si>
  <si>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</si>
  <si>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</si>
  <si>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</si>
  <si>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</si>
  <si>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</si>
  <si>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</si>
  <si>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</si>
  <si>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</si>
  <si>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</si>
  <si>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</si>
  <si>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</si>
  <si>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</si>
  <si>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</si>
  <si>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other Chips</t>
  </si>
  <si>
    <t>Freq Mixer</t>
  </si>
  <si>
    <t>SIM -14+</t>
  </si>
  <si>
    <t>SIM-123+</t>
  </si>
  <si>
    <t>SIM-73L+</t>
  </si>
  <si>
    <t>SIM-83+</t>
  </si>
  <si>
    <t>SIM-83LH+</t>
  </si>
  <si>
    <t>SIM-14+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</si>
  <si>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</si>
  <si>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</si>
  <si>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</si>
  <si>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</si>
  <si>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</si>
  <si>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</si>
  <si>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</si>
  <si>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</si>
  <si>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OPA360,SC70-6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</si>
  <si>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</si>
  <si>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</si>
  <si>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</si>
  <si>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</si>
  <si>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</si>
  <si>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</si>
  <si>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</si>
  <si>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</si>
  <si>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</si>
  <si>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</si>
  <si>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</si>
  <si>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LVA-123+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</si>
  <si>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</si>
  <si>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</si>
  <si>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</si>
  <si>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</si>
  <si>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</si>
  <si>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</si>
  <si>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</si>
  <si>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</si>
  <si>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</si>
  <si>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</si>
  <si>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multiplier</t>
  </si>
  <si>
    <t>HMC1167LP5E</t>
  </si>
  <si>
    <t>TGC4406-SM</t>
  </si>
  <si>
    <t>TPS73501QDRBRQ1</t>
  </si>
  <si>
    <t>TGA 4705-FC</t>
  </si>
  <si>
    <t>HMC773LC3B</t>
  </si>
  <si>
    <t>77GHz ,Triquint,LNA</t>
  </si>
  <si>
    <t>VGA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</si>
  <si>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</si>
  <si>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</si>
  <si>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</si>
  <si>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</si>
  <si>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</si>
  <si>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LP3985IM5-3.2/NOPB, 3.2V,0.15A</t>
  </si>
  <si>
    <t>L78L05ACUTR, 5V,1A</t>
  </si>
  <si>
    <t>L78L33ACUTR, 3.3V,1A</t>
  </si>
  <si>
    <t xml:space="preserve">TPS71730DCKR, 3.0V,150 mA </t>
  </si>
  <si>
    <t>BA78M07FP-E2, 7v, 500mA</t>
  </si>
  <si>
    <t>L78L06ABUTR, 6.0V, 0.1A</t>
  </si>
  <si>
    <t>AP1117Y50G-13, 5V,1A, SOT89-3</t>
  </si>
  <si>
    <t>MCP1804T-30021/MB,3V ,0.15A</t>
  </si>
  <si>
    <t>LT3015EQ-5#PBF, -5V 1.5A</t>
  </si>
  <si>
    <t xml:space="preserve">MIC5209-4.2YS,4.2V, 500mA </t>
  </si>
  <si>
    <t>AN79LO5M-ND,5V,100mA</t>
  </si>
  <si>
    <t>AN78L09M,9V,0.1A</t>
  </si>
  <si>
    <t>LM2940SX-8.0/NOPB, 8V0.1A</t>
  </si>
  <si>
    <t>L79L05ACUTR,-5V,0.1A</t>
  </si>
  <si>
    <t xml:space="preserve">LM2937IMP-12/NOPB,12V,400 mA </t>
  </si>
  <si>
    <t>BD80C0AFPS-E2, LD0,8V,0.1A</t>
  </si>
  <si>
    <t>REG101UA-3,3V 8-SOIC</t>
  </si>
  <si>
    <t xml:space="preserve">TPS79030DBVR,3V50mA </t>
  </si>
  <si>
    <t>L78L06ACUTR,6V,0.1A</t>
  </si>
  <si>
    <t xml:space="preserve">AN8006M,6V,50 mA </t>
  </si>
  <si>
    <t>tps71712dckr,1.2v,0.15A</t>
  </si>
  <si>
    <t>LTC1983ES6-5#TRMPBF,-5V</t>
  </si>
  <si>
    <t xml:space="preserve">REG101NA-2.5/250,2.5V,10mA </t>
  </si>
  <si>
    <t xml:space="preserve">AN8005M-ND,5V,50 mA </t>
  </si>
  <si>
    <t>REG104FA-5KTTT,5V,1A</t>
  </si>
  <si>
    <t>TPS79630KTTT,3.0V,1A</t>
  </si>
  <si>
    <t>L4931ABD50-TR,5V</t>
  </si>
  <si>
    <t>MC78L05ACDG,5V,0.1A</t>
  </si>
  <si>
    <t>AN7708SP,8V,1.2A</t>
  </si>
  <si>
    <t>LM2940S-8.0/NOPB,8V1A</t>
  </si>
  <si>
    <t>LT1761ES5-2.5#TRMPBF,2.5V,100mA</t>
  </si>
  <si>
    <t>TPS7172DCKR,1.2V,0.15A</t>
  </si>
  <si>
    <t>US78M05CDCYR,POS,SOT-223</t>
  </si>
  <si>
    <t>NJM78L05A,5V</t>
  </si>
  <si>
    <t>UA78L05ACD,5V,0.1A</t>
  </si>
  <si>
    <t>L78L0ACUTR,8V,0.1A</t>
  </si>
  <si>
    <t>TPS71713DCKR,1.3V,150mA</t>
  </si>
  <si>
    <t>TPS71715DCKR,1.5V,0.15A</t>
  </si>
  <si>
    <t>L4931ABD35-TR,3.5V,0.25A</t>
  </si>
  <si>
    <t xml:space="preserve">LT1761ES5-3.3#TRMPBF,3.3V,100mA </t>
  </si>
  <si>
    <t>AN79L09M-ND,9V,100mA</t>
  </si>
  <si>
    <t>L4931ABD33-TR,3.3V</t>
  </si>
  <si>
    <t>NJM78L05UA,5V</t>
  </si>
  <si>
    <t>L78M05ABDT-TR,5V,0.5A</t>
  </si>
  <si>
    <t>UA78M05CDCYR</t>
  </si>
  <si>
    <t>PDM2-S24-D5-S,5V,200mA</t>
  </si>
  <si>
    <t>LM2940IMP-15CT-ND</t>
  </si>
  <si>
    <t xml:space="preserve">L4931ABD50-TR,5V,250mA </t>
  </si>
  <si>
    <t>TPS71710DRVR,1.0V,150mA</t>
  </si>
  <si>
    <t>L4931ABD120TR,12V</t>
  </si>
  <si>
    <t>MCP1827T-5002E/ET,5V,1.5A</t>
  </si>
  <si>
    <t>S24SE05006PDFA</t>
  </si>
  <si>
    <t>VFSD1-S12-S12-SIP,12V</t>
  </si>
  <si>
    <t>MCP1804T-3002IMB,150mA,28V</t>
  </si>
  <si>
    <t>L7806ABD2T-TR,6V,1A</t>
  </si>
  <si>
    <t>UA78M08CDCYR,POS 500mA</t>
  </si>
  <si>
    <t>vco</t>
  </si>
  <si>
    <t>HMC506LP4</t>
  </si>
  <si>
    <t>HMC430LP4E,VCO 5.0-5.5GHZ</t>
  </si>
  <si>
    <t>HMC466LP4E,VCO 6.1-6.72GHZ</t>
  </si>
  <si>
    <t>HMC505LP4E,6.8-7.4GHZ</t>
  </si>
  <si>
    <t>HMC390LP4E,3.55-3.90GHZ</t>
  </si>
  <si>
    <t>HMC429LP4E,4.45-5.0GHZ</t>
  </si>
  <si>
    <t>HMC735LP5E,10.5-12.2GHZ</t>
  </si>
  <si>
    <t>ECS-8FMX-122.8-TR,12.288MHZ,5.0V</t>
  </si>
  <si>
    <t>HMC431LP4E</t>
  </si>
  <si>
    <t>HMC435MS8GE</t>
  </si>
  <si>
    <t>435MS8GE</t>
  </si>
  <si>
    <t>HMC736LP4E,14.5-15.0GHZ</t>
  </si>
  <si>
    <t>HMC416LP4</t>
  </si>
  <si>
    <t>HMC584LP5E</t>
  </si>
  <si>
    <t>HMC389LP4E</t>
  </si>
  <si>
    <t>HMC430LP4E</t>
  </si>
  <si>
    <t>HMC583LP5E</t>
  </si>
  <si>
    <t>HMC385LP4E</t>
  </si>
  <si>
    <t>CVCO55CC-0971-0975</t>
  </si>
  <si>
    <t>SG-531P 22.1184MHZ</t>
  </si>
  <si>
    <t>SG-3030JC 32.7680KB3:ROHS</t>
  </si>
  <si>
    <t>ECS-8FMX-245.7-TR,24.576MHZ</t>
  </si>
  <si>
    <t>HMC736LP4E</t>
  </si>
  <si>
    <t>HMC506LP4E,7.8-8.7GHZ</t>
  </si>
  <si>
    <t>ECS-8FMX-491.5-TR,49.152 MHZ</t>
  </si>
  <si>
    <t>ECS-2200B-098,9.8304MHZ</t>
  </si>
  <si>
    <t>CSX750ACB125.000MTR,125 MHZ</t>
  </si>
  <si>
    <t>ECS-2100A-120,12MHZ</t>
  </si>
  <si>
    <t>CSX750ACB133.330MTR,133 MHZ</t>
  </si>
  <si>
    <t>ECS-8FM-010-TR,1MHZ</t>
  </si>
  <si>
    <t>CSX750FCC44.00000M-UT,44MHZ</t>
  </si>
  <si>
    <t>ECS-8FMX,49.152MHZ</t>
  </si>
  <si>
    <t>ECS-8FM,1MHZ</t>
  </si>
  <si>
    <t>Part num</t>
  </si>
  <si>
    <t>value (Ohm)</t>
  </si>
  <si>
    <t>footsize(imperial unit)</t>
  </si>
  <si>
    <t>max voltage</t>
  </si>
  <si>
    <t>3.32k</t>
  </si>
  <si>
    <t>0402</t>
  </si>
  <si>
    <t>0603</t>
  </si>
  <si>
    <t>1.05k</t>
  </si>
  <si>
    <t xml:space="preserve"> 0402</t>
  </si>
  <si>
    <t>18k</t>
  </si>
  <si>
    <t>8.06k</t>
  </si>
  <si>
    <t>47k</t>
  </si>
  <si>
    <t>38.3k</t>
  </si>
  <si>
    <t>82k</t>
  </si>
  <si>
    <t xml:space="preserve"> 0603</t>
  </si>
  <si>
    <t>1206</t>
  </si>
  <si>
    <t xml:space="preserve"> 1206</t>
  </si>
  <si>
    <t>value</t>
  </si>
  <si>
    <t xml:space="preserve">1 pF </t>
  </si>
  <si>
    <t>2824</t>
  </si>
  <si>
    <t xml:space="preserve">11 pf </t>
  </si>
  <si>
    <t xml:space="preserve">13 pf </t>
  </si>
  <si>
    <t xml:space="preserve">8.2 pf </t>
  </si>
  <si>
    <t xml:space="preserve">2.2 pf </t>
  </si>
  <si>
    <t>0805</t>
  </si>
  <si>
    <t xml:space="preserve">10 pf </t>
  </si>
  <si>
    <t xml:space="preserve">22pf </t>
  </si>
  <si>
    <t xml:space="preserve">20 pf </t>
  </si>
  <si>
    <t>1608</t>
  </si>
  <si>
    <t>T495E227KO16ATE100</t>
  </si>
  <si>
    <t>634k</t>
  </si>
  <si>
    <t>250k</t>
  </si>
  <si>
    <t>200k</t>
  </si>
  <si>
    <t>191k</t>
  </si>
  <si>
    <t>60.4k</t>
  </si>
  <si>
    <t>30k</t>
  </si>
  <si>
    <t>16.9k</t>
  </si>
  <si>
    <t>12k</t>
  </si>
  <si>
    <t>6.65k</t>
  </si>
  <si>
    <t>5k</t>
  </si>
  <si>
    <t>3.92k</t>
  </si>
  <si>
    <t>1.5k</t>
  </si>
  <si>
    <t>1.3k</t>
  </si>
  <si>
    <t>1.2k</t>
  </si>
  <si>
    <t>1k</t>
  </si>
  <si>
    <t>numerical</t>
  </si>
  <si>
    <t xml:space="preserve">value </t>
  </si>
  <si>
    <t>68 nh</t>
  </si>
  <si>
    <t xml:space="preserve">82 nh </t>
  </si>
  <si>
    <t>Name</t>
  </si>
  <si>
    <t xml:space="preserve">numerical(pf) </t>
  </si>
  <si>
    <t>MFG:747250-4</t>
  </si>
  <si>
    <t>ZONE:ZONE9</t>
  </si>
  <si>
    <t>WM3862-ND</t>
  </si>
  <si>
    <t>Conn Header 20POS</t>
  </si>
  <si>
    <t>WM7961CT-ND</t>
  </si>
  <si>
    <t>CONN FPC BOTTOM 14POS</t>
  </si>
  <si>
    <t>S7085-ND</t>
  </si>
  <si>
    <t>CONN Header FMAL 34PS</t>
  </si>
  <si>
    <t>S7111-ND</t>
  </si>
  <si>
    <t>CONN HEADER FMAL 16PS</t>
  </si>
  <si>
    <t>H10537-ND</t>
  </si>
  <si>
    <t>CONN RECEPT STR 120PS 1.27MM</t>
  </si>
  <si>
    <t>1939-1900-ND</t>
  </si>
  <si>
    <t>MOLEX HOUSING 3.96mm pitch</t>
  </si>
  <si>
    <t>DIN-Signal</t>
  </si>
  <si>
    <t>09031786901</t>
  </si>
  <si>
    <t>651-1751329</t>
  </si>
  <si>
    <t>10P 3.5mm 90DEG</t>
  </si>
  <si>
    <t>etc</t>
  </si>
  <si>
    <t xml:space="preserve">   </t>
  </si>
  <si>
    <t>CRCW060356R0FKEA</t>
  </si>
  <si>
    <t>CRCW0603453RFKEA</t>
  </si>
  <si>
    <t>RC0603FR-07402RL</t>
  </si>
  <si>
    <t>CR0603-JW-303ELF</t>
  </si>
  <si>
    <t>30K</t>
  </si>
  <si>
    <t>RC0603FR-07240RL</t>
  </si>
  <si>
    <t>RMCF0603FT40R2</t>
  </si>
  <si>
    <t>CR0603-FX-1503ELF</t>
  </si>
  <si>
    <t>150K</t>
  </si>
  <si>
    <t>RMCF0603FT120K</t>
  </si>
  <si>
    <t>120K</t>
  </si>
  <si>
    <t>RC0603FR-07102KL</t>
  </si>
  <si>
    <t>102K</t>
  </si>
  <si>
    <t>CRCW0805-8871FRT1</t>
  </si>
  <si>
    <t>8.87K</t>
  </si>
  <si>
    <t>RC0603FR-07287RL</t>
  </si>
  <si>
    <t>RC0603FR-07133RL</t>
  </si>
  <si>
    <t>CR0603-FX-3002ELF</t>
  </si>
  <si>
    <t>CR0603-FX-1742ELF</t>
  </si>
  <si>
    <t>17.4K</t>
  </si>
  <si>
    <t>CR0603-FX-2002ELF</t>
  </si>
  <si>
    <t>20K</t>
  </si>
  <si>
    <t>RC0603FR-0727KL</t>
  </si>
  <si>
    <t>27K</t>
  </si>
  <si>
    <t>RC0603FR-074K75L</t>
  </si>
  <si>
    <t>4.75K</t>
  </si>
  <si>
    <t>CR0603-FX-1212ELF</t>
  </si>
  <si>
    <t>12.1K</t>
  </si>
  <si>
    <t>RMCF0603FT28K0</t>
  </si>
  <si>
    <t>28K</t>
  </si>
  <si>
    <t>RMCF00603FT7K15</t>
  </si>
  <si>
    <t>7.15K</t>
  </si>
  <si>
    <t>CR0603-FX-715ELF</t>
  </si>
  <si>
    <t>RC0603FR-072KL</t>
  </si>
  <si>
    <t>2K</t>
  </si>
  <si>
    <t>CRCW060317K4FKEA</t>
  </si>
  <si>
    <t>RMCF0603JT30K0</t>
  </si>
  <si>
    <t>CR0603-FX-1023ELF</t>
  </si>
  <si>
    <t>ESR10EZPF88R7</t>
  </si>
  <si>
    <t>88.7K</t>
  </si>
  <si>
    <t>RC0603FR-0775RL</t>
    <phoneticPr fontId="0" type="noConversion"/>
  </si>
  <si>
    <t>0603</t>
    <phoneticPr fontId="0" type="noConversion"/>
  </si>
  <si>
    <t>RC0603FR-0724R9L</t>
    <phoneticPr fontId="0" type="noConversion"/>
  </si>
  <si>
    <t>RC0603FR-0713RL</t>
    <phoneticPr fontId="0" type="noConversion"/>
  </si>
  <si>
    <t>CR0603-FX-2200ELF</t>
    <phoneticPr fontId="0" type="noConversion"/>
  </si>
  <si>
    <t>RMCF0603FG402R</t>
    <phoneticPr fontId="0" type="noConversion"/>
  </si>
  <si>
    <t>RMCF1206FT249R</t>
    <phoneticPr fontId="0" type="noConversion"/>
  </si>
  <si>
    <t>RC0603FR-07100RL</t>
    <phoneticPr fontId="0" type="noConversion"/>
  </si>
  <si>
    <t>ERJ-3GEY0R00V</t>
    <phoneticPr fontId="0" type="noConversion"/>
  </si>
  <si>
    <t>RC0402FR-0720KL</t>
    <phoneticPr fontId="0" type="noConversion"/>
  </si>
  <si>
    <t>20k</t>
    <phoneticPr fontId="0" type="noConversion"/>
  </si>
  <si>
    <t>0402</t>
    <phoneticPr fontId="0" type="noConversion"/>
  </si>
  <si>
    <t>CR0603-FX-1803ELF</t>
    <phoneticPr fontId="0" type="noConversion"/>
  </si>
  <si>
    <t>180k</t>
    <phoneticPr fontId="0" type="noConversion"/>
  </si>
  <si>
    <t>CR0603-FX-2493ELF</t>
    <phoneticPr fontId="0" type="noConversion"/>
  </si>
  <si>
    <t>249k</t>
    <phoneticPr fontId="0" type="noConversion"/>
  </si>
  <si>
    <t>CR0603-FX-1403ELF</t>
    <phoneticPr fontId="0" type="noConversion"/>
  </si>
  <si>
    <t>140k</t>
    <phoneticPr fontId="0" type="noConversion"/>
  </si>
  <si>
    <t>CRCW0805100RFKEA</t>
    <phoneticPr fontId="0" type="noConversion"/>
  </si>
  <si>
    <t>0805</t>
    <phoneticPr fontId="0" type="noConversion"/>
  </si>
  <si>
    <t>RK73H2ATTD4R12F</t>
    <phoneticPr fontId="0" type="noConversion"/>
  </si>
  <si>
    <t>RK73H2ATTD4R99F</t>
    <phoneticPr fontId="0" type="noConversion"/>
  </si>
  <si>
    <t>RC1206FR-07215RL</t>
    <phoneticPr fontId="0" type="noConversion"/>
  </si>
  <si>
    <t>ESR10EZPF88R7</t>
    <phoneticPr fontId="0" type="noConversion"/>
  </si>
  <si>
    <t>RC0603FR-07215RL</t>
    <phoneticPr fontId="0" type="noConversion"/>
  </si>
  <si>
    <t>CRCW0805-2211FRT1</t>
    <phoneticPr fontId="0" type="noConversion"/>
  </si>
  <si>
    <t>2.21k</t>
    <phoneticPr fontId="0" type="noConversion"/>
  </si>
  <si>
    <t>RMCF1206FT82R0</t>
    <phoneticPr fontId="0" type="noConversion"/>
  </si>
  <si>
    <t>RK73Z2ELTD</t>
    <phoneticPr fontId="0" type="noConversion"/>
  </si>
  <si>
    <t>1210</t>
  </si>
  <si>
    <t>RMC1/16K8202FTP</t>
  </si>
  <si>
    <t>82K</t>
  </si>
  <si>
    <t>RK73H2ATTD3R16F</t>
  </si>
  <si>
    <t>CR0603-FX-3601ELF</t>
  </si>
  <si>
    <t>3.6K</t>
  </si>
  <si>
    <t>ERJ-3EKF3601V</t>
  </si>
  <si>
    <t>RK73H1JTTD1500F</t>
  </si>
  <si>
    <t>RMCF1206FT113R</t>
  </si>
  <si>
    <t>RK73H1JTTD4991F</t>
  </si>
  <si>
    <t>4.99K</t>
  </si>
  <si>
    <t>RC0603FR-0710RL</t>
  </si>
  <si>
    <t>CRCW0805402RFKEA</t>
  </si>
  <si>
    <t>MCR10EZHF1501</t>
  </si>
  <si>
    <t>1.5K</t>
  </si>
  <si>
    <t>MRMCF1206FT267R</t>
  </si>
  <si>
    <t>RC1608F510CS</t>
  </si>
  <si>
    <t>MCR10EZHF1002</t>
  </si>
  <si>
    <t>10K</t>
  </si>
  <si>
    <t>RC0805JR-0715RL</t>
  </si>
  <si>
    <t>CRCW080556R0FKEA</t>
  </si>
  <si>
    <t>RC1206FR-07220RL</t>
  </si>
  <si>
    <t>RMCF1206JT1K30</t>
  </si>
  <si>
    <t>1.3K</t>
  </si>
  <si>
    <t>CRCW0603100RFKTA</t>
  </si>
  <si>
    <t>C0402C101J3GACTU</t>
  </si>
  <si>
    <t>100pF</t>
  </si>
  <si>
    <t>25V</t>
  </si>
  <si>
    <t>ECD-G0ER909</t>
  </si>
  <si>
    <t>0.90PF</t>
  </si>
  <si>
    <t>ECD-G0E1R8B</t>
  </si>
  <si>
    <t>1.8PF</t>
  </si>
  <si>
    <t>B37923K5030B960</t>
  </si>
  <si>
    <t>3.9PF</t>
  </si>
  <si>
    <t>50V</t>
  </si>
  <si>
    <t>CRM1555C1H101JA01D</t>
  </si>
  <si>
    <t>100PF</t>
  </si>
  <si>
    <t>CRM155R60J475ME47D</t>
  </si>
  <si>
    <t>0402YC104MAT2A</t>
  </si>
  <si>
    <t>251R14S4R7CV4T</t>
  </si>
  <si>
    <t>4.7PF</t>
  </si>
  <si>
    <t>250V</t>
  </si>
  <si>
    <t>C3216X5R1C336M</t>
  </si>
  <si>
    <t>GRM32ER61E226KE15L</t>
  </si>
  <si>
    <t>TAJW107K006RNJ</t>
  </si>
  <si>
    <t>TMK325B7226KMHP</t>
  </si>
  <si>
    <t>C3216X5R1E476M160AC</t>
  </si>
  <si>
    <t>EEE-FC0J220R</t>
  </si>
  <si>
    <t>GMK316F106ZL-T</t>
  </si>
  <si>
    <t>30V</t>
  </si>
  <si>
    <t>GRM21BC81C226ME44L</t>
  </si>
  <si>
    <t>08055A100JAT2A</t>
  </si>
  <si>
    <t>10PF</t>
  </si>
  <si>
    <t>C2012X5R1V156M125AC</t>
  </si>
  <si>
    <t>C0805C821J5GACTU</t>
  </si>
  <si>
    <t>GRM2165C1H332JA01D</t>
  </si>
  <si>
    <t>SQCAEM0R1BAJME</t>
  </si>
  <si>
    <t>0.1PF</t>
  </si>
  <si>
    <t>150V</t>
  </si>
  <si>
    <t>0605</t>
  </si>
  <si>
    <t>MCU0805PD2002DP500</t>
  </si>
  <si>
    <t>CR0805-FX-8451ELF</t>
  </si>
  <si>
    <t>8.45K</t>
  </si>
  <si>
    <t>CR0603-FX-8451ELF</t>
  </si>
  <si>
    <t>CRCW080556R2FKEA</t>
  </si>
  <si>
    <t>ECJ-2VC1H391J</t>
  </si>
  <si>
    <t>C0805C105K4RACTU</t>
  </si>
  <si>
    <t>ECJ-2VC1H270J</t>
  </si>
  <si>
    <t>27PF</t>
  </si>
  <si>
    <t>CL21A476MQYNNNE</t>
  </si>
  <si>
    <t>MF-NSMF 110-2</t>
  </si>
  <si>
    <t>FUSE</t>
  </si>
  <si>
    <t>Part Num</t>
  </si>
  <si>
    <t>Current</t>
  </si>
  <si>
    <t>Voltage</t>
  </si>
  <si>
    <t>footprint</t>
  </si>
  <si>
    <t>1.1A</t>
  </si>
  <si>
    <t>6V</t>
  </si>
  <si>
    <t>C1Q 1.5</t>
  </si>
  <si>
    <t>1.5A</t>
  </si>
  <si>
    <t>125V</t>
  </si>
  <si>
    <t>RC1608F9532CS</t>
  </si>
  <si>
    <t>95.3K</t>
  </si>
  <si>
    <t>MF-NSMF 110 -2</t>
  </si>
  <si>
    <t>1.10A</t>
  </si>
  <si>
    <t>MF-NSMF050-2</t>
  </si>
  <si>
    <t>500mA</t>
  </si>
  <si>
    <t>13.2V</t>
  </si>
  <si>
    <t>MF-NSMF012-2</t>
  </si>
  <si>
    <t>0.12A</t>
  </si>
  <si>
    <t>FC0603E50R</t>
  </si>
  <si>
    <t>FC0402E1000BST1</t>
  </si>
  <si>
    <t>CH0402-250RGF</t>
  </si>
  <si>
    <t>FC0603E5050BST1</t>
  </si>
  <si>
    <t>F951C106MSAAQ2</t>
  </si>
  <si>
    <t/>
  </si>
  <si>
    <t>ADG719BRTZ-REEL7</t>
  </si>
  <si>
    <t>CH0402-500RGFPT</t>
  </si>
  <si>
    <t>504L2000FTNCFT</t>
  </si>
  <si>
    <t>74AHC164BQ,115</t>
  </si>
  <si>
    <t>Logic Gates</t>
  </si>
  <si>
    <t>MC100LVEP05MNTXG</t>
  </si>
  <si>
    <t>CH0402-150RGF</t>
  </si>
  <si>
    <t>TZR1Z010A001R00</t>
  </si>
  <si>
    <t>1PF</t>
  </si>
  <si>
    <t>RC0603JR-070RL</t>
  </si>
  <si>
    <t>RC0603JR-0791RL</t>
  </si>
  <si>
    <t>RC1206FR-07165RL</t>
  </si>
  <si>
    <t>CR2512-J/-000ELF</t>
  </si>
  <si>
    <t>CR0603-FX-1621ELF</t>
  </si>
  <si>
    <t>1.62k</t>
  </si>
  <si>
    <t>MCT06030C1004FP500</t>
  </si>
  <si>
    <t>1M</t>
  </si>
  <si>
    <t>RR0510P-2870-D</t>
  </si>
  <si>
    <t>CRCW080543R2FKEA</t>
  </si>
  <si>
    <t>ERJ-6RQF3R9V</t>
  </si>
  <si>
    <t>MCR03ERTTF4122</t>
  </si>
  <si>
    <t>41.2k</t>
  </si>
  <si>
    <t>MCR18EZHF2430</t>
  </si>
  <si>
    <t>ERJ-8ENF47ROV</t>
  </si>
  <si>
    <t>RMCF0603FT62K0</t>
  </si>
  <si>
    <t>62k</t>
  </si>
  <si>
    <t>RC1206FR-07470RL</t>
  </si>
  <si>
    <t>ERJ-2RKF2871X</t>
  </si>
  <si>
    <t>2.87k</t>
  </si>
  <si>
    <t>ERJ-2RKF4991X</t>
  </si>
  <si>
    <t>4.99k</t>
  </si>
  <si>
    <t>MCR18EZPF1001</t>
  </si>
  <si>
    <t>ERJ-3EKF10R0V</t>
  </si>
  <si>
    <t>RC1206FR-0760R4L</t>
  </si>
  <si>
    <t>MCR03ERTF2001</t>
  </si>
  <si>
    <t>2k</t>
  </si>
  <si>
    <t>MCR01MRTF1001</t>
  </si>
  <si>
    <t>MCR18EZPJ101</t>
  </si>
  <si>
    <t>MCR03ERTF2003</t>
  </si>
  <si>
    <t>ECJ-1VC1H101J</t>
  </si>
  <si>
    <t>100pf</t>
  </si>
  <si>
    <t>251R14S4R7BV4T</t>
  </si>
  <si>
    <t>4.7pf</t>
  </si>
  <si>
    <t>CL10A475KP8NNNC</t>
  </si>
  <si>
    <t>GRM188R60J225KE19D</t>
  </si>
  <si>
    <t>LMK107BJ225KA-T</t>
  </si>
  <si>
    <t>CC0603JRNP09BN680</t>
  </si>
  <si>
    <t>68pF</t>
  </si>
  <si>
    <t>251R14S6R8CV4T</t>
  </si>
  <si>
    <t>6.8pF</t>
  </si>
  <si>
    <t>GRM188R71H104KA93D</t>
  </si>
  <si>
    <t>C0603C560J5GACTU</t>
  </si>
  <si>
    <t>56pF</t>
  </si>
  <si>
    <t>C0603C569D5GACTM</t>
  </si>
  <si>
    <t>5.6pF</t>
  </si>
  <si>
    <t>0603N470F500CT</t>
  </si>
  <si>
    <t>47pF</t>
  </si>
  <si>
    <t>0603N680F500CT</t>
  </si>
  <si>
    <t>CC0603KRX7R9BB501</t>
  </si>
  <si>
    <t>ECJ-1VB1E103K</t>
  </si>
  <si>
    <t>251R14S0R3BV4T</t>
  </si>
  <si>
    <t>0.3pF</t>
  </si>
  <si>
    <t>251R14S0R9BV4T</t>
  </si>
  <si>
    <t>0.9pF</t>
  </si>
  <si>
    <t>0.2pF</t>
  </si>
  <si>
    <t>251R14S5R6CV4T</t>
  </si>
  <si>
    <t>GRM155R71H102KA01D</t>
  </si>
  <si>
    <t>MF--NSMF035-2</t>
  </si>
  <si>
    <t>C1Q 500</t>
  </si>
  <si>
    <t>MF-NSMF075-2</t>
  </si>
  <si>
    <t>C1Q 750</t>
  </si>
  <si>
    <t>C1Q 375</t>
  </si>
  <si>
    <t>0.35A</t>
  </si>
  <si>
    <t>750mA</t>
  </si>
  <si>
    <t>375mA</t>
  </si>
  <si>
    <t>Switchs</t>
  </si>
  <si>
    <t>ISL43210IHZ-T</t>
  </si>
  <si>
    <t>PE42420LGBB-Z</t>
  </si>
  <si>
    <t>PE4251MLI-Z</t>
  </si>
  <si>
    <t>PE42420C-Z</t>
  </si>
  <si>
    <t>ISL433210IHZ-T</t>
  </si>
  <si>
    <t>TS5A3359DCUR</t>
  </si>
  <si>
    <t>PE42520MLBA-Z</t>
  </si>
  <si>
    <t>PE424442A-Z</t>
  </si>
  <si>
    <t>SKY13588-460LF</t>
  </si>
  <si>
    <t>TS5A23159RSER</t>
  </si>
  <si>
    <t>inductor</t>
  </si>
  <si>
    <t>LQW18AN12NJ00D</t>
  </si>
  <si>
    <t>12 nh</t>
  </si>
  <si>
    <t>LQP03TG0N4B02D</t>
  </si>
  <si>
    <t>0.4NH</t>
  </si>
  <si>
    <t>BLM21PG221SN1D</t>
  </si>
  <si>
    <t>MLK1005SR15J</t>
  </si>
  <si>
    <t>3.58NH</t>
  </si>
  <si>
    <t>IHHP1008ABER1R5M01</t>
  </si>
  <si>
    <t>1.5UH</t>
  </si>
  <si>
    <t>SRR7045-102M</t>
  </si>
  <si>
    <t>1000 UH</t>
  </si>
  <si>
    <t>NLCV32T-R10M-PFR</t>
  </si>
  <si>
    <t>100NH</t>
  </si>
  <si>
    <t>VLP8040T-2R2N</t>
  </si>
  <si>
    <t>2.2UH</t>
  </si>
  <si>
    <t>SRP4020TA-1R5M</t>
  </si>
  <si>
    <t>CURRENT</t>
  </si>
  <si>
    <t>4.5 A</t>
  </si>
  <si>
    <t>1624112-8</t>
  </si>
  <si>
    <t>68 NH</t>
  </si>
  <si>
    <t xml:space="preserve">600 mA </t>
  </si>
  <si>
    <t>L-14C39NJV4T</t>
  </si>
  <si>
    <t>39NH</t>
  </si>
  <si>
    <t xml:space="preserve">300 mA </t>
  </si>
  <si>
    <t>12NH</t>
  </si>
  <si>
    <t>BLM21BD272SN1L</t>
  </si>
  <si>
    <t>LQW18AN8N2D00D</t>
  </si>
  <si>
    <t>8.2 NH</t>
  </si>
  <si>
    <t xml:space="preserve">650 mA </t>
  </si>
  <si>
    <t>B82496C3121J</t>
  </si>
  <si>
    <t>120NH</t>
  </si>
  <si>
    <t>0.16A</t>
  </si>
  <si>
    <t>MLF2012A3R3KT000</t>
  </si>
  <si>
    <t>3.3UH</t>
  </si>
  <si>
    <t>L0603C1N0SRMST</t>
  </si>
  <si>
    <t>1NH</t>
  </si>
  <si>
    <t>300mA</t>
  </si>
  <si>
    <t xml:space="preserve">600mA </t>
  </si>
  <si>
    <t>EPL2014-472MLB</t>
  </si>
  <si>
    <t>BLM21AG221BH1D</t>
  </si>
  <si>
    <t>LQW18ANR10J00D</t>
  </si>
  <si>
    <t xml:space="preserve">220 mA </t>
  </si>
  <si>
    <t>LQW18AN5N6D00D</t>
  </si>
  <si>
    <t>5.6 NH</t>
  </si>
  <si>
    <t xml:space="preserve">750 mA </t>
  </si>
  <si>
    <t>cim21j222ne</t>
  </si>
  <si>
    <t>2.2k</t>
  </si>
  <si>
    <t>Ferrite bead</t>
  </si>
  <si>
    <t>P/N</t>
  </si>
  <si>
    <t>Ohm</t>
  </si>
  <si>
    <t>footsize</t>
  </si>
  <si>
    <t>LQW18AN2N2D00D</t>
    <phoneticPr fontId="3" type="noConversion"/>
  </si>
  <si>
    <t>LQW18AN2N2D10D</t>
    <phoneticPr fontId="3" type="noConversion"/>
  </si>
  <si>
    <t>LQW18AN12NJ00D</t>
    <phoneticPr fontId="3" type="noConversion"/>
  </si>
  <si>
    <t>LQW18AN36NG00D</t>
    <phoneticPr fontId="3" type="noConversion"/>
  </si>
  <si>
    <t>LQW18AN68NJ00D</t>
    <phoneticPr fontId="3" type="noConversion"/>
  </si>
  <si>
    <t>MLK1005SR15JT000</t>
    <phoneticPr fontId="3" type="noConversion"/>
  </si>
  <si>
    <t>MLK1005S22NJT000</t>
    <phoneticPr fontId="3" type="noConversion"/>
  </si>
  <si>
    <t>B82496C3270J</t>
    <phoneticPr fontId="3" type="noConversion"/>
  </si>
  <si>
    <t>LQW18ANR10J00D</t>
    <phoneticPr fontId="3" type="noConversion"/>
  </si>
  <si>
    <t>LQW18AN43NJ00D</t>
    <phoneticPr fontId="3" type="noConversion"/>
  </si>
  <si>
    <t>B82496C3479J</t>
    <phoneticPr fontId="3" type="noConversion"/>
  </si>
  <si>
    <t>LQP15MN22NGO2D</t>
    <phoneticPr fontId="3" type="noConversion"/>
  </si>
  <si>
    <t>LQW18AN30NG00D</t>
    <phoneticPr fontId="3" type="noConversion"/>
  </si>
  <si>
    <t>LQW18AN8N2D00D</t>
    <phoneticPr fontId="3" type="noConversion"/>
  </si>
  <si>
    <t>MPI404R1-R15-R</t>
    <phoneticPr fontId="3" type="noConversion"/>
  </si>
  <si>
    <t>SRN6045-220M</t>
    <phoneticPr fontId="3" type="noConversion"/>
  </si>
  <si>
    <t>220 UH</t>
    <phoneticPr fontId="3" type="noConversion"/>
  </si>
  <si>
    <t>L-14C39NJV4T</t>
    <phoneticPr fontId="3" type="noConversion"/>
  </si>
  <si>
    <t>L-14C18NJV4T</t>
    <phoneticPr fontId="3" type="noConversion"/>
  </si>
  <si>
    <t>1-1624112-0</t>
    <phoneticPr fontId="3" type="noConversion"/>
  </si>
  <si>
    <t>S1812-103K</t>
    <phoneticPr fontId="3" type="noConversion"/>
  </si>
  <si>
    <t>10UH</t>
    <phoneticPr fontId="3" type="noConversion"/>
  </si>
  <si>
    <t>100 nF</t>
  </si>
  <si>
    <t>47 pF</t>
  </si>
  <si>
    <t>68 pF</t>
  </si>
  <si>
    <t>10 pF</t>
  </si>
  <si>
    <t>251R14S0R2AV4T</t>
  </si>
  <si>
    <t>0.2 pF</t>
  </si>
  <si>
    <t>0.3 pF</t>
  </si>
  <si>
    <t>0.9 pF</t>
  </si>
  <si>
    <t>4.7 pF</t>
  </si>
  <si>
    <t>5.6 pF</t>
  </si>
  <si>
    <t>6.8 pF</t>
  </si>
  <si>
    <t>3 pF</t>
  </si>
  <si>
    <t>56 pF</t>
  </si>
  <si>
    <t>1.0 µF</t>
  </si>
  <si>
    <t>820 pF</t>
  </si>
  <si>
    <t>C1608X5R0J106K080AB</t>
  </si>
  <si>
    <t>10 µF</t>
  </si>
  <si>
    <t>15 µF</t>
  </si>
  <si>
    <t>33 µF</t>
  </si>
  <si>
    <t>47 µF</t>
  </si>
  <si>
    <t>500 pF</t>
  </si>
  <si>
    <t>CC1206MKX5R7BB226</t>
  </si>
  <si>
    <t>22 µF</t>
  </si>
  <si>
    <t>4.7 µF</t>
  </si>
  <si>
    <t>1.8 pF</t>
  </si>
  <si>
    <t>10 nF</t>
  </si>
  <si>
    <t>27 pF</t>
  </si>
  <si>
    <t>390 pF</t>
  </si>
  <si>
    <t>SMD Can</t>
  </si>
  <si>
    <t>3216 (A)</t>
  </si>
  <si>
    <t>1.0 nF</t>
  </si>
  <si>
    <t>2.2 µF</t>
  </si>
  <si>
    <t>3.3 nF</t>
  </si>
  <si>
    <t>0.1 pF</t>
  </si>
  <si>
    <t>1210 (W)</t>
  </si>
  <si>
    <t>100 µF</t>
  </si>
  <si>
    <t>Trimmer</t>
  </si>
  <si>
    <t>1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</si>
</sst>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/>
    <xf numFmtId="0" fontId="2" fillId="0" borderId="0" xfId="0" applyFont="1" applyAlignment="1">
      <alignment horizontal="left" indent="1"/>
    </xf>
    <xf numFmtId="0" fontId="0" fillId="0" borderId="0" xfId="0" quotePrefix="1" applyAlignment="1">
      <alignment horizontal="left" indent="1"/>
    </xf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quotePrefix="1" applyNumberFormat="1" applyAlignment="1">
      <alignment horizontal="left" indent="1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Fill="1"/>
    <xf numFmtId="0" fontId="0" fillId="0" borderId="0" xfId="0" quotePrefix="1" applyFill="1" applyAlignment="1">
      <alignment horizontal="left" indent="1"/>
    </xf>
    <xf numFmtId="0" fontId="0" fillId="0" borderId="0" xfId="0" applyFill="1" applyAlignment="1">
      <alignment horizontal="left" indent="1"/>
    </xf>
    <xf numFmtId="0" fontId="2" fillId="0" borderId="0" xfId="0" applyFont="1" applyFill="1"/>
    <xf numFmtId="0" fontId="0" fillId="0" borderId="0" xfId="0" quotePrefix="1" applyFill="1"/>
    <xf numFmtId="0" fontId="2" fillId="0" borderId="0" xfId="0" quotePrefix="1" applyFont="1" applyFill="1"/>
    <xf numFmtId="0" fontId="1" fillId="2" borderId="0" xfId="0" applyFont="1" applyFill="1" applyBorder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2" borderId="0" xfId="0" applyFont="1" applyFill="1"/>
    <xf numFmtId="0" fontId="1" fillId="5" borderId="0" xfId="0" applyFont="1" applyFill="1"/>
    <xf numFmtId="0" fontId="1" fillId="9" borderId="0" xfId="0" applyFont="1" applyFill="1"/>
    <xf numFmtId="49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AN143"/>
  <sheetViews>
    <sheetView tabSelected="1" topLeftCell="A52" zoomScaleNormal="100" workbookViewId="0">
      <selection activeCell="F83" sqref="F66:J83"/>
    </sheetView>
  </sheetViews>
  <sheetFormatPr defaultRowHeight="13.8"/>
  <cols>
    <col min="1" max="1" width="27.69921875" customWidth="1"/>
    <col min="2" max="2" width="13.69921875" customWidth="1"/>
    <col min="3" max="4" width="10.59765625" customWidth="1"/>
    <col min="5" max="5" width="19.69921875" style="15" customWidth="1"/>
    <col min="6" max="6" width="21.19921875" customWidth="1"/>
    <col min="7" max="7" width="10.8984375" customWidth="1"/>
    <col min="8" max="8" width="13.5" customWidth="1"/>
    <col min="9" max="9" width="12.796875" customWidth="1"/>
    <col min="10" max="10" width="18.69921875" customWidth="1"/>
    <col min="11" max="11" width="20.5" customWidth="1"/>
    <col min="12" max="13" width="18.69921875" customWidth="1"/>
    <col min="14" max="14" width="15.69921875" customWidth="1"/>
    <col min="15" max="15" width="20.5" customWidth="1"/>
    <col min="16" max="16" width="14.8984375" customWidth="1"/>
    <col min="17" max="17" width="27.19921875" customWidth="1"/>
    <col min="18" max="20" width="15.3984375" customWidth="1"/>
    <col min="21" max="21" width="19.3984375" customWidth="1"/>
    <col min="22" max="24" width="33.09765625" customWidth="1"/>
    <col min="25" max="28" width="49.8984375" customWidth="1"/>
    <col min="29" max="29" width="32.5" customWidth="1"/>
    <col min="30" max="30" width="33.59765625" customWidth="1"/>
    <col min="31" max="31" width="18.8984375" customWidth="1"/>
    <col min="35" max="35" width="15.59765625" customWidth="1"/>
    <col min="36" max="36" width="17.69921875" customWidth="1"/>
  </cols>
  <sheetData>
    <row r="1" spans="1:40">
      <c r="A1" s="36" t="s">
        <v>79</v>
      </c>
      <c r="B1" s="36"/>
      <c r="C1" s="36"/>
      <c r="D1" s="36"/>
      <c r="E1" s="36"/>
      <c r="F1" s="37" t="s">
        <v>0</v>
      </c>
      <c r="G1" s="37"/>
      <c r="H1" s="37"/>
      <c r="I1" s="37"/>
      <c r="J1" s="37"/>
      <c r="K1" s="38" t="s">
        <v>505</v>
      </c>
      <c r="L1" s="38"/>
      <c r="M1" s="38"/>
      <c r="N1" s="38"/>
      <c r="O1" s="26" t="s">
        <v>1</v>
      </c>
      <c r="P1" s="35" t="s">
        <v>2</v>
      </c>
      <c r="Q1" s="35"/>
      <c r="R1" s="29" t="s">
        <v>11</v>
      </c>
      <c r="S1" s="31" t="s">
        <v>80</v>
      </c>
      <c r="T1" s="27" t="s">
        <v>42</v>
      </c>
      <c r="U1" s="26" t="s">
        <v>423</v>
      </c>
      <c r="V1" s="30" t="s">
        <v>22</v>
      </c>
      <c r="W1" s="29" t="s">
        <v>55</v>
      </c>
      <c r="X1" s="31" t="s">
        <v>53</v>
      </c>
      <c r="Y1" s="27" t="s">
        <v>41</v>
      </c>
      <c r="Z1" s="30" t="s">
        <v>74</v>
      </c>
      <c r="AA1" s="29" t="s">
        <v>34</v>
      </c>
      <c r="AB1" s="28" t="s">
        <v>66</v>
      </c>
      <c r="AC1" s="27" t="s">
        <v>3</v>
      </c>
      <c r="AD1" s="26" t="s">
        <v>149</v>
      </c>
      <c r="AE1" s="35" t="s">
        <v>394</v>
      </c>
      <c r="AF1" s="35"/>
      <c r="AG1" s="35"/>
      <c r="AH1" s="35"/>
      <c r="AI1" s="25" t="s">
        <v>494</v>
      </c>
      <c r="AJ1" s="34" t="s">
        <v>553</v>
      </c>
      <c r="AK1" s="34"/>
      <c r="AL1" s="34"/>
      <c r="AM1" s="34"/>
      <c r="AN1" s="34"/>
    </row>
    <row r="2" spans="1:40">
      <c r="A2" t="s">
        <v>183</v>
      </c>
      <c r="B2" t="s">
        <v>184</v>
      </c>
      <c r="C2" s="2" t="s">
        <v>228</v>
      </c>
      <c r="D2" t="s">
        <v>186</v>
      </c>
      <c r="E2" s="12" t="s">
        <v>185</v>
      </c>
      <c r="F2" s="1" t="s">
        <v>183</v>
      </c>
      <c r="G2" s="1" t="s">
        <v>200</v>
      </c>
      <c r="H2" s="10" t="s">
        <v>233</v>
      </c>
      <c r="I2" s="1" t="s">
        <v>186</v>
      </c>
      <c r="J2" s="1" t="s">
        <v>185</v>
      </c>
      <c r="K2" t="s">
        <v>183</v>
      </c>
      <c r="L2" t="s">
        <v>229</v>
      </c>
      <c r="M2" t="s">
        <v>522</v>
      </c>
      <c r="N2" s="1" t="s">
        <v>185</v>
      </c>
      <c r="O2" t="s">
        <v>4</v>
      </c>
      <c r="P2" s="11" t="s">
        <v>183</v>
      </c>
      <c r="Q2" s="11" t="s">
        <v>232</v>
      </c>
      <c r="R2" t="s">
        <v>12</v>
      </c>
      <c r="S2" t="s">
        <v>81</v>
      </c>
      <c r="T2" t="s">
        <v>43</v>
      </c>
      <c r="U2" t="s">
        <v>424</v>
      </c>
      <c r="V2" t="s">
        <v>23</v>
      </c>
      <c r="W2" t="s">
        <v>56</v>
      </c>
      <c r="X2" t="s">
        <v>54</v>
      </c>
      <c r="Y2" t="s">
        <v>40</v>
      </c>
      <c r="Z2" t="s">
        <v>75</v>
      </c>
      <c r="AA2" t="s">
        <v>64</v>
      </c>
      <c r="AB2" t="s">
        <v>67</v>
      </c>
      <c r="AC2" t="s">
        <v>8</v>
      </c>
      <c r="AD2" t="s">
        <v>150</v>
      </c>
      <c r="AE2" t="s">
        <v>395</v>
      </c>
      <c r="AF2" t="s">
        <v>396</v>
      </c>
      <c r="AG2" t="s">
        <v>397</v>
      </c>
      <c r="AH2" t="s">
        <v>398</v>
      </c>
      <c r="AI2" s="19" t="s">
        <v>495</v>
      </c>
      <c r="AJ2" s="33" t="s">
        <v>554</v>
      </c>
      <c r="AK2" s="33" t="s">
        <v>555</v>
      </c>
      <c r="AL2" s="33"/>
      <c r="AM2" s="33"/>
      <c r="AN2" s="33" t="s">
        <v>556</v>
      </c>
    </row>
    <row r="3" spans="1:40">
      <c r="B3" s="7">
        <v>0</v>
      </c>
      <c r="C3">
        <f t="shared" ref="C3:C34" si="0">IF(RIGHT(B3,1)="k", VALUE(LEFT(B3,LEN(B3)-1))*1000, VALUE(B3))</f>
        <v>0</v>
      </c>
      <c r="E3" s="13" t="s">
        <v>188</v>
      </c>
      <c r="F3" s="5"/>
      <c r="G3" s="5" t="s">
        <v>380</v>
      </c>
      <c r="H3" s="1">
        <f t="shared" ref="H3:H34" si="1">IF(ISNUMBER(SEARCH("pF",G3)), VALUE(LEFT(G3,SEARCH("pF",G3)-1)),
 IF(ISNUMBER(SEARCH("nF",G3)), VALUE(LEFT(G3,SEARCH("nF",G3)-1))*1000,
 IF(ISNUMBER(SEARCH("uF",G3)), VALUE(LEFT(G3,SEARCH("uF",G3)-1))*1000000,"")))</f>
        <v>0.1</v>
      </c>
      <c r="I3" s="5" t="s">
        <v>381</v>
      </c>
      <c r="J3" s="17" t="s">
        <v>382</v>
      </c>
      <c r="K3" s="3"/>
      <c r="L3" s="3" t="s">
        <v>230</v>
      </c>
      <c r="M3" s="3"/>
      <c r="N3" s="3" t="s">
        <v>189</v>
      </c>
      <c r="O3" t="s">
        <v>57</v>
      </c>
      <c r="Q3" t="s">
        <v>5</v>
      </c>
      <c r="R3" t="s">
        <v>72</v>
      </c>
      <c r="S3" t="s">
        <v>82</v>
      </c>
      <c r="T3" t="s">
        <v>44</v>
      </c>
      <c r="V3" t="s">
        <v>24</v>
      </c>
      <c r="Y3" t="s">
        <v>39</v>
      </c>
      <c r="AA3" t="s">
        <v>54</v>
      </c>
      <c r="AB3" t="s">
        <v>68</v>
      </c>
      <c r="AC3" t="s">
        <v>9</v>
      </c>
      <c r="AD3" t="s">
        <v>151</v>
      </c>
      <c r="AE3" t="s">
        <v>393</v>
      </c>
      <c r="AF3" t="s">
        <v>399</v>
      </c>
      <c r="AG3" t="s">
        <v>400</v>
      </c>
      <c r="AH3" s="3" t="s">
        <v>198</v>
      </c>
      <c r="AI3" s="19" t="s">
        <v>496</v>
      </c>
      <c r="AJ3" s="19" t="s">
        <v>510</v>
      </c>
      <c r="AK3">
        <v>220</v>
      </c>
      <c r="AN3" s="13" t="s">
        <v>207</v>
      </c>
    </row>
    <row r="4" spans="1:40">
      <c r="B4" s="7">
        <v>0</v>
      </c>
      <c r="C4">
        <f t="shared" si="0"/>
        <v>0</v>
      </c>
      <c r="E4" s="14" t="s">
        <v>197</v>
      </c>
      <c r="F4" s="5"/>
      <c r="G4" s="19" t="s">
        <v>483</v>
      </c>
      <c r="H4" s="22">
        <f t="shared" si="1"/>
        <v>0.2</v>
      </c>
      <c r="I4" s="19">
        <v>250</v>
      </c>
      <c r="J4" s="23" t="s">
        <v>189</v>
      </c>
      <c r="K4" s="3"/>
      <c r="L4" s="3" t="s">
        <v>231</v>
      </c>
      <c r="M4" s="3"/>
      <c r="N4" s="3" t="s">
        <v>189</v>
      </c>
      <c r="O4" t="s">
        <v>69</v>
      </c>
      <c r="Q4" t="s">
        <v>6</v>
      </c>
      <c r="T4" t="s">
        <v>45</v>
      </c>
      <c r="V4" t="s">
        <v>25</v>
      </c>
      <c r="Y4" t="s">
        <v>84</v>
      </c>
      <c r="AC4" t="s">
        <v>10</v>
      </c>
      <c r="AD4" t="s">
        <v>152</v>
      </c>
      <c r="AE4" t="s">
        <v>401</v>
      </c>
      <c r="AF4" t="s">
        <v>402</v>
      </c>
      <c r="AG4" t="s">
        <v>403</v>
      </c>
      <c r="AH4" s="3" t="s">
        <v>198</v>
      </c>
      <c r="AI4" s="19" t="s">
        <v>497</v>
      </c>
      <c r="AJ4" s="23" t="s">
        <v>531</v>
      </c>
      <c r="AK4">
        <v>2700</v>
      </c>
      <c r="AN4" s="13" t="s">
        <v>207</v>
      </c>
    </row>
    <row r="5" spans="1:40">
      <c r="A5" t="s">
        <v>302</v>
      </c>
      <c r="B5" s="2"/>
      <c r="C5">
        <f t="shared" si="0"/>
        <v>0</v>
      </c>
      <c r="E5" s="14" t="s">
        <v>295</v>
      </c>
      <c r="F5" s="5"/>
      <c r="G5" s="19" t="s">
        <v>480</v>
      </c>
      <c r="H5" s="22">
        <f t="shared" si="1"/>
        <v>0.3</v>
      </c>
      <c r="I5" s="19">
        <v>250</v>
      </c>
      <c r="J5" s="23" t="s">
        <v>189</v>
      </c>
      <c r="K5" s="3" t="s">
        <v>506</v>
      </c>
      <c r="L5" s="23" t="s">
        <v>507</v>
      </c>
      <c r="M5" s="3"/>
      <c r="N5" s="3" t="s">
        <v>189</v>
      </c>
      <c r="O5" t="s">
        <v>86</v>
      </c>
      <c r="Q5" t="s">
        <v>7</v>
      </c>
      <c r="T5" t="s">
        <v>46</v>
      </c>
      <c r="V5" t="s">
        <v>26</v>
      </c>
      <c r="AC5" t="s">
        <v>13</v>
      </c>
      <c r="AD5" t="s">
        <v>153</v>
      </c>
      <c r="AE5" t="s">
        <v>406</v>
      </c>
      <c r="AF5" t="s">
        <v>407</v>
      </c>
      <c r="AG5" t="s">
        <v>400</v>
      </c>
      <c r="AH5" s="3" t="s">
        <v>198</v>
      </c>
      <c r="AI5" s="19" t="s">
        <v>498</v>
      </c>
      <c r="AJ5" s="23" t="s">
        <v>545</v>
      </c>
      <c r="AK5">
        <v>220</v>
      </c>
      <c r="AN5" s="13" t="s">
        <v>207</v>
      </c>
    </row>
    <row r="6" spans="1:40">
      <c r="A6" t="s">
        <v>322</v>
      </c>
      <c r="B6">
        <v>0</v>
      </c>
      <c r="C6">
        <f t="shared" si="0"/>
        <v>0</v>
      </c>
      <c r="E6" s="13" t="s">
        <v>323</v>
      </c>
      <c r="F6" s="5"/>
      <c r="G6" s="5" t="s">
        <v>352</v>
      </c>
      <c r="H6" s="1">
        <f t="shared" si="1"/>
        <v>0.9</v>
      </c>
      <c r="I6" s="5" t="s">
        <v>350</v>
      </c>
      <c r="J6" s="17" t="s">
        <v>188</v>
      </c>
      <c r="K6" s="17" t="s">
        <v>508</v>
      </c>
      <c r="L6" s="23" t="s">
        <v>509</v>
      </c>
      <c r="M6" s="3"/>
      <c r="Q6" t="s">
        <v>15</v>
      </c>
      <c r="T6" t="s">
        <v>47</v>
      </c>
      <c r="V6" t="s">
        <v>27</v>
      </c>
      <c r="AC6" t="s">
        <v>17</v>
      </c>
      <c r="AD6" t="s">
        <v>154</v>
      </c>
      <c r="AE6" t="s">
        <v>408</v>
      </c>
      <c r="AF6" t="s">
        <v>409</v>
      </c>
      <c r="AG6" t="s">
        <v>410</v>
      </c>
      <c r="AH6" s="3" t="s">
        <v>198</v>
      </c>
      <c r="AI6" s="19" t="s">
        <v>499</v>
      </c>
      <c r="AJ6" s="19" t="s">
        <v>510</v>
      </c>
      <c r="AK6">
        <v>220</v>
      </c>
      <c r="AN6" s="13" t="s">
        <v>207</v>
      </c>
    </row>
    <row r="7" spans="1:40">
      <c r="A7" t="s">
        <v>314</v>
      </c>
      <c r="B7">
        <v>4.12</v>
      </c>
      <c r="C7">
        <f t="shared" si="0"/>
        <v>4.12</v>
      </c>
      <c r="E7" s="14" t="s">
        <v>313</v>
      </c>
      <c r="F7" s="4"/>
      <c r="G7" s="19" t="s">
        <v>482</v>
      </c>
      <c r="H7" s="22">
        <f t="shared" si="1"/>
        <v>0.9</v>
      </c>
      <c r="I7" s="19">
        <v>250</v>
      </c>
      <c r="J7" s="23" t="s">
        <v>189</v>
      </c>
      <c r="K7" t="s">
        <v>511</v>
      </c>
      <c r="L7" s="19" t="s">
        <v>512</v>
      </c>
      <c r="Q7" t="s">
        <v>16</v>
      </c>
      <c r="T7" t="s">
        <v>48</v>
      </c>
      <c r="V7" t="s">
        <v>29</v>
      </c>
      <c r="AC7" t="s">
        <v>18</v>
      </c>
      <c r="AD7" t="s">
        <v>155</v>
      </c>
      <c r="AE7" t="s">
        <v>411</v>
      </c>
      <c r="AF7" t="s">
        <v>412</v>
      </c>
      <c r="AG7" t="s">
        <v>372</v>
      </c>
      <c r="AH7" s="3" t="s">
        <v>198</v>
      </c>
      <c r="AI7" s="19" t="s">
        <v>500</v>
      </c>
    </row>
    <row r="8" spans="1:40">
      <c r="A8" t="s">
        <v>315</v>
      </c>
      <c r="B8">
        <v>4.99</v>
      </c>
      <c r="C8">
        <f t="shared" si="0"/>
        <v>4.99</v>
      </c>
      <c r="E8" s="14" t="s">
        <v>313</v>
      </c>
      <c r="F8" s="5"/>
      <c r="G8" s="9" t="s">
        <v>201</v>
      </c>
      <c r="H8" s="1">
        <f t="shared" si="1"/>
        <v>1</v>
      </c>
      <c r="I8" s="5"/>
      <c r="J8" s="3" t="s">
        <v>188</v>
      </c>
      <c r="K8" s="3" t="s">
        <v>513</v>
      </c>
      <c r="L8" s="23" t="s">
        <v>514</v>
      </c>
      <c r="M8" s="3"/>
      <c r="Q8" t="s">
        <v>62</v>
      </c>
      <c r="T8" t="s">
        <v>49</v>
      </c>
      <c r="V8" t="s">
        <v>30</v>
      </c>
      <c r="AC8" t="s">
        <v>20</v>
      </c>
      <c r="AD8" t="s">
        <v>156</v>
      </c>
      <c r="AE8" s="19" t="s">
        <v>486</v>
      </c>
      <c r="AF8" s="19" t="s">
        <v>491</v>
      </c>
      <c r="AG8" s="19"/>
      <c r="AH8" s="19"/>
      <c r="AI8" s="19" t="s">
        <v>497</v>
      </c>
    </row>
    <row r="9" spans="1:40">
      <c r="B9" s="7">
        <v>10</v>
      </c>
      <c r="C9">
        <f t="shared" si="0"/>
        <v>10</v>
      </c>
      <c r="E9" s="14" t="s">
        <v>189</v>
      </c>
      <c r="F9" s="5"/>
      <c r="G9" s="9" t="s">
        <v>201</v>
      </c>
      <c r="H9" s="1">
        <f t="shared" si="1"/>
        <v>1</v>
      </c>
      <c r="I9" s="5"/>
      <c r="J9" s="3" t="s">
        <v>188</v>
      </c>
      <c r="K9" s="3" t="s">
        <v>515</v>
      </c>
      <c r="L9" s="23" t="s">
        <v>516</v>
      </c>
      <c r="M9" s="3"/>
      <c r="Q9" t="s">
        <v>63</v>
      </c>
      <c r="T9" t="s">
        <v>50</v>
      </c>
      <c r="V9" t="s">
        <v>31</v>
      </c>
      <c r="AC9" t="s">
        <v>21</v>
      </c>
      <c r="AD9" t="s">
        <v>157</v>
      </c>
      <c r="AE9" s="19" t="s">
        <v>487</v>
      </c>
      <c r="AF9" s="19" t="s">
        <v>409</v>
      </c>
      <c r="AG9" s="19" t="s">
        <v>403</v>
      </c>
      <c r="AH9" s="19">
        <v>1206</v>
      </c>
      <c r="AI9" s="19" t="s">
        <v>501</v>
      </c>
    </row>
    <row r="10" spans="1:40">
      <c r="A10" t="s">
        <v>297</v>
      </c>
      <c r="B10" s="2">
        <v>13</v>
      </c>
      <c r="C10">
        <f t="shared" si="0"/>
        <v>13</v>
      </c>
      <c r="E10" s="14" t="s">
        <v>295</v>
      </c>
      <c r="F10" s="5"/>
      <c r="G10" s="5" t="s">
        <v>427</v>
      </c>
      <c r="H10" s="1">
        <f t="shared" si="1"/>
        <v>1</v>
      </c>
      <c r="I10" s="5" t="s">
        <v>350</v>
      </c>
      <c r="K10" s="3" t="s">
        <v>517</v>
      </c>
      <c r="L10" s="23" t="s">
        <v>518</v>
      </c>
      <c r="M10" s="3"/>
      <c r="Q10" t="s">
        <v>70</v>
      </c>
      <c r="T10" t="s">
        <v>51</v>
      </c>
      <c r="V10" t="s">
        <v>76</v>
      </c>
      <c r="AC10" t="s">
        <v>28</v>
      </c>
      <c r="AD10" t="s">
        <v>158</v>
      </c>
      <c r="AE10" s="19" t="s">
        <v>488</v>
      </c>
      <c r="AF10" s="19" t="s">
        <v>492</v>
      </c>
      <c r="AG10" s="19" t="s">
        <v>400</v>
      </c>
      <c r="AH10" s="19">
        <v>1206</v>
      </c>
      <c r="AI10" s="19" t="s">
        <v>502</v>
      </c>
    </row>
    <row r="11" spans="1:40">
      <c r="B11" s="7">
        <v>15</v>
      </c>
      <c r="C11">
        <f t="shared" si="0"/>
        <v>15</v>
      </c>
      <c r="E11" s="14" t="s">
        <v>191</v>
      </c>
      <c r="F11" s="5"/>
      <c r="G11" s="5" t="s">
        <v>354</v>
      </c>
      <c r="H11" s="1">
        <f t="shared" si="1"/>
        <v>1.8</v>
      </c>
      <c r="I11" s="5" t="s">
        <v>350</v>
      </c>
      <c r="J11" s="3" t="s">
        <v>188</v>
      </c>
      <c r="K11" s="5" t="s">
        <v>519</v>
      </c>
      <c r="L11" s="32" t="s">
        <v>520</v>
      </c>
      <c r="Q11" t="s">
        <v>87</v>
      </c>
      <c r="T11" t="s">
        <v>52</v>
      </c>
      <c r="V11" t="s">
        <v>77</v>
      </c>
      <c r="AC11" t="s">
        <v>32</v>
      </c>
      <c r="AD11" t="s">
        <v>159</v>
      </c>
      <c r="AE11" s="19" t="s">
        <v>489</v>
      </c>
      <c r="AF11" s="19" t="s">
        <v>492</v>
      </c>
      <c r="AG11" s="19" t="s">
        <v>403</v>
      </c>
      <c r="AH11" s="19">
        <v>1206</v>
      </c>
      <c r="AI11" s="19" t="s">
        <v>495</v>
      </c>
    </row>
    <row r="12" spans="1:40">
      <c r="B12" s="7">
        <v>16.5</v>
      </c>
      <c r="C12">
        <f t="shared" si="0"/>
        <v>16.5</v>
      </c>
      <c r="E12" s="14" t="s">
        <v>188</v>
      </c>
      <c r="F12" s="5"/>
      <c r="G12" s="9" t="s">
        <v>206</v>
      </c>
      <c r="H12" s="1">
        <f t="shared" si="1"/>
        <v>2.2000000000000002</v>
      </c>
      <c r="I12" s="5"/>
      <c r="J12" s="3" t="s">
        <v>189</v>
      </c>
      <c r="K12" t="s">
        <v>521</v>
      </c>
      <c r="L12" s="19" t="s">
        <v>514</v>
      </c>
      <c r="M12" s="19" t="s">
        <v>523</v>
      </c>
      <c r="P12" t="s">
        <v>235</v>
      </c>
      <c r="Q12" t="s">
        <v>234</v>
      </c>
      <c r="T12" t="s">
        <v>85</v>
      </c>
      <c r="V12" t="s">
        <v>78</v>
      </c>
      <c r="AC12" t="s">
        <v>33</v>
      </c>
      <c r="AD12" t="s">
        <v>160</v>
      </c>
      <c r="AE12" s="19" t="s">
        <v>490</v>
      </c>
      <c r="AF12" s="19" t="s">
        <v>493</v>
      </c>
      <c r="AG12" s="19" t="s">
        <v>403</v>
      </c>
      <c r="AH12" s="19">
        <v>1206</v>
      </c>
      <c r="AI12" s="19" t="s">
        <v>503</v>
      </c>
    </row>
    <row r="13" spans="1:40">
      <c r="B13" s="7">
        <v>24.9</v>
      </c>
      <c r="C13">
        <f t="shared" si="0"/>
        <v>24.9</v>
      </c>
      <c r="E13" s="14" t="s">
        <v>198</v>
      </c>
      <c r="F13" s="5"/>
      <c r="G13" s="5" t="s">
        <v>356</v>
      </c>
      <c r="H13" s="1">
        <f t="shared" si="1"/>
        <v>3.9</v>
      </c>
      <c r="I13" s="5" t="s">
        <v>357</v>
      </c>
      <c r="J13" s="3" t="s">
        <v>188</v>
      </c>
      <c r="K13" s="5" t="s">
        <v>524</v>
      </c>
      <c r="L13" s="32" t="s">
        <v>525</v>
      </c>
      <c r="M13" s="32" t="s">
        <v>526</v>
      </c>
      <c r="P13" t="s">
        <v>236</v>
      </c>
      <c r="Q13" t="s">
        <v>237</v>
      </c>
      <c r="V13" t="s">
        <v>83</v>
      </c>
      <c r="AD13" t="s">
        <v>161</v>
      </c>
      <c r="AI13" s="19" t="s">
        <v>495</v>
      </c>
    </row>
    <row r="14" spans="1:40">
      <c r="A14" t="s">
        <v>296</v>
      </c>
      <c r="B14" s="2">
        <v>24.9</v>
      </c>
      <c r="C14">
        <f t="shared" si="0"/>
        <v>24.9</v>
      </c>
      <c r="E14" s="14" t="s">
        <v>295</v>
      </c>
      <c r="F14" s="4"/>
      <c r="G14" s="5" t="s">
        <v>363</v>
      </c>
      <c r="H14" s="1">
        <f t="shared" si="1"/>
        <v>4.7</v>
      </c>
      <c r="I14" s="5" t="s">
        <v>364</v>
      </c>
      <c r="J14" s="17" t="s">
        <v>189</v>
      </c>
      <c r="K14" s="3" t="s">
        <v>527</v>
      </c>
      <c r="L14" s="3" t="s">
        <v>528</v>
      </c>
      <c r="M14" s="3" t="s">
        <v>529</v>
      </c>
      <c r="P14" t="s">
        <v>238</v>
      </c>
      <c r="Q14" t="s">
        <v>239</v>
      </c>
      <c r="V14" t="s">
        <v>88</v>
      </c>
      <c r="AC14" t="s">
        <v>35</v>
      </c>
      <c r="AD14" t="s">
        <v>162</v>
      </c>
      <c r="AI14" s="19" t="s">
        <v>504</v>
      </c>
    </row>
    <row r="15" spans="1:40">
      <c r="B15" s="7">
        <v>27.4</v>
      </c>
      <c r="C15">
        <f t="shared" si="0"/>
        <v>27.4</v>
      </c>
      <c r="E15" s="14" t="s">
        <v>197</v>
      </c>
      <c r="F15" s="5"/>
      <c r="G15" s="19" t="s">
        <v>461</v>
      </c>
      <c r="H15" s="22">
        <f t="shared" si="1"/>
        <v>4.7</v>
      </c>
      <c r="I15" s="22">
        <v>250</v>
      </c>
      <c r="J15" s="24" t="s">
        <v>189</v>
      </c>
      <c r="K15" t="s">
        <v>506</v>
      </c>
      <c r="L15" t="s">
        <v>530</v>
      </c>
      <c r="M15" t="s">
        <v>526</v>
      </c>
      <c r="P15" t="s">
        <v>240</v>
      </c>
      <c r="Q15" t="s">
        <v>241</v>
      </c>
      <c r="V15" t="s">
        <v>23</v>
      </c>
      <c r="AC15" t="s">
        <v>36</v>
      </c>
      <c r="AD15" t="s">
        <v>163</v>
      </c>
    </row>
    <row r="16" spans="1:40">
      <c r="A16" t="s">
        <v>260</v>
      </c>
      <c r="B16" s="2">
        <v>40.200000000000003</v>
      </c>
      <c r="C16" s="2">
        <f t="shared" si="0"/>
        <v>40.200000000000003</v>
      </c>
      <c r="E16" s="13" t="s">
        <v>189</v>
      </c>
      <c r="F16" s="5" t="s">
        <v>212</v>
      </c>
      <c r="G16" s="19" t="s">
        <v>14</v>
      </c>
      <c r="H16" s="22">
        <f t="shared" si="1"/>
        <v>220000000</v>
      </c>
      <c r="I16" s="19">
        <v>50</v>
      </c>
      <c r="J16" s="23" t="s">
        <v>202</v>
      </c>
      <c r="K16" s="23" t="s">
        <v>532</v>
      </c>
      <c r="L16" s="23" t="s">
        <v>533</v>
      </c>
      <c r="M16" s="23" t="s">
        <v>534</v>
      </c>
      <c r="N16" s="3" t="s">
        <v>189</v>
      </c>
      <c r="P16" t="s">
        <v>242</v>
      </c>
      <c r="Q16" t="s">
        <v>243</v>
      </c>
      <c r="V16" t="s">
        <v>89</v>
      </c>
      <c r="AD16" t="s">
        <v>164</v>
      </c>
    </row>
    <row r="17" spans="1:30">
      <c r="A17" t="s">
        <v>254</v>
      </c>
      <c r="B17" s="6">
        <v>56</v>
      </c>
      <c r="C17" s="6">
        <f t="shared" si="0"/>
        <v>56</v>
      </c>
      <c r="E17" s="13" t="s">
        <v>189</v>
      </c>
      <c r="F17" s="5"/>
      <c r="G17" s="19" t="s">
        <v>473</v>
      </c>
      <c r="H17" s="22">
        <f t="shared" si="1"/>
        <v>5.6</v>
      </c>
      <c r="I17" s="19">
        <v>250</v>
      </c>
      <c r="J17" s="23" t="s">
        <v>189</v>
      </c>
      <c r="K17" s="3" t="s">
        <v>535</v>
      </c>
      <c r="L17" s="23" t="s">
        <v>536</v>
      </c>
      <c r="M17" s="23" t="s">
        <v>537</v>
      </c>
      <c r="N17" s="3" t="s">
        <v>189</v>
      </c>
      <c r="P17" t="s">
        <v>244</v>
      </c>
      <c r="Q17" t="s">
        <v>245</v>
      </c>
      <c r="V17" t="s">
        <v>90</v>
      </c>
      <c r="AC17" t="s">
        <v>38</v>
      </c>
      <c r="AD17" t="s">
        <v>165</v>
      </c>
    </row>
    <row r="18" spans="1:30">
      <c r="A18" t="s">
        <v>294</v>
      </c>
      <c r="B18" s="6">
        <v>75</v>
      </c>
      <c r="C18">
        <f t="shared" si="0"/>
        <v>75</v>
      </c>
      <c r="E18" s="14" t="s">
        <v>295</v>
      </c>
      <c r="F18" s="5"/>
      <c r="G18" s="19" t="s">
        <v>468</v>
      </c>
      <c r="H18" s="22">
        <f t="shared" si="1"/>
        <v>6.8</v>
      </c>
      <c r="I18" s="19">
        <v>250</v>
      </c>
      <c r="J18" s="23" t="s">
        <v>189</v>
      </c>
      <c r="K18" s="3" t="s">
        <v>538</v>
      </c>
      <c r="L18" s="23" t="s">
        <v>539</v>
      </c>
      <c r="M18" s="23" t="s">
        <v>526</v>
      </c>
      <c r="P18" t="s">
        <v>246</v>
      </c>
      <c r="Q18" t="s">
        <v>247</v>
      </c>
      <c r="V18" t="s">
        <v>91</v>
      </c>
      <c r="AC18" t="s">
        <v>58</v>
      </c>
      <c r="AD18" t="s">
        <v>166</v>
      </c>
    </row>
    <row r="19" spans="1:30">
      <c r="A19" t="s">
        <v>321</v>
      </c>
      <c r="B19">
        <v>82</v>
      </c>
      <c r="C19">
        <f t="shared" si="0"/>
        <v>82</v>
      </c>
      <c r="E19" s="15">
        <v>1206</v>
      </c>
      <c r="F19" s="5"/>
      <c r="G19" s="9" t="s">
        <v>205</v>
      </c>
      <c r="H19" s="1">
        <f t="shared" si="1"/>
        <v>8.1999999999999993</v>
      </c>
      <c r="I19" s="5"/>
      <c r="J19" s="3" t="s">
        <v>189</v>
      </c>
      <c r="K19" s="3" t="s">
        <v>540</v>
      </c>
      <c r="L19" s="23" t="s">
        <v>541</v>
      </c>
      <c r="M19" s="23" t="s">
        <v>542</v>
      </c>
      <c r="P19" s="3" t="s">
        <v>249</v>
      </c>
      <c r="Q19" t="s">
        <v>248</v>
      </c>
      <c r="V19" t="s">
        <v>92</v>
      </c>
      <c r="AC19" t="s">
        <v>59</v>
      </c>
      <c r="AD19" t="s">
        <v>167</v>
      </c>
    </row>
    <row r="20" spans="1:30">
      <c r="A20" t="s">
        <v>317</v>
      </c>
      <c r="B20">
        <v>88.7</v>
      </c>
      <c r="C20">
        <f t="shared" si="0"/>
        <v>88.7</v>
      </c>
      <c r="E20" s="14" t="s">
        <v>313</v>
      </c>
      <c r="F20" s="5"/>
      <c r="G20" s="9" t="s">
        <v>208</v>
      </c>
      <c r="H20" s="1">
        <f t="shared" si="1"/>
        <v>10</v>
      </c>
      <c r="I20" s="5"/>
      <c r="J20" s="3" t="s">
        <v>207</v>
      </c>
      <c r="K20" s="3" t="s">
        <v>506</v>
      </c>
      <c r="L20" s="23" t="s">
        <v>530</v>
      </c>
      <c r="M20" s="23" t="s">
        <v>543</v>
      </c>
      <c r="P20" t="s">
        <v>250</v>
      </c>
      <c r="Q20" t="s">
        <v>251</v>
      </c>
      <c r="V20" t="s">
        <v>108</v>
      </c>
      <c r="AC20" t="s">
        <v>60</v>
      </c>
      <c r="AD20" t="s">
        <v>168</v>
      </c>
    </row>
    <row r="21" spans="1:30">
      <c r="B21" s="7">
        <v>91</v>
      </c>
      <c r="C21">
        <f t="shared" si="0"/>
        <v>91</v>
      </c>
      <c r="E21" s="14" t="s">
        <v>189</v>
      </c>
      <c r="F21" s="5"/>
      <c r="G21" s="5" t="s">
        <v>375</v>
      </c>
      <c r="H21" s="1">
        <f t="shared" si="1"/>
        <v>10</v>
      </c>
      <c r="I21" s="5" t="s">
        <v>357</v>
      </c>
      <c r="J21" s="17" t="s">
        <v>207</v>
      </c>
      <c r="K21" s="17" t="s">
        <v>544</v>
      </c>
      <c r="L21" s="3"/>
      <c r="M21" s="3"/>
      <c r="P21" t="s">
        <v>252</v>
      </c>
      <c r="Q21" t="s">
        <v>252</v>
      </c>
      <c r="V21" t="s">
        <v>93</v>
      </c>
      <c r="AC21" t="s">
        <v>37</v>
      </c>
      <c r="AD21" t="s">
        <v>169</v>
      </c>
    </row>
    <row r="22" spans="1:30">
      <c r="B22" s="7">
        <v>100</v>
      </c>
      <c r="C22">
        <f t="shared" si="0"/>
        <v>100</v>
      </c>
      <c r="E22" s="14" t="s">
        <v>188</v>
      </c>
      <c r="F22" s="5"/>
      <c r="G22" s="9" t="s">
        <v>203</v>
      </c>
      <c r="H22" s="1">
        <f t="shared" si="1"/>
        <v>11</v>
      </c>
      <c r="I22" s="5"/>
      <c r="J22" s="3" t="s">
        <v>189</v>
      </c>
      <c r="K22" s="3" t="s">
        <v>546</v>
      </c>
      <c r="L22" s="3" t="s">
        <v>518</v>
      </c>
      <c r="M22" s="3" t="s">
        <v>547</v>
      </c>
      <c r="V22" t="s">
        <v>94</v>
      </c>
      <c r="AC22" t="s">
        <v>61</v>
      </c>
      <c r="AD22" t="s">
        <v>170</v>
      </c>
    </row>
    <row r="23" spans="1:30">
      <c r="A23" t="s">
        <v>301</v>
      </c>
      <c r="B23" s="2">
        <v>100</v>
      </c>
      <c r="C23">
        <f t="shared" si="0"/>
        <v>100</v>
      </c>
      <c r="E23" s="14" t="s">
        <v>295</v>
      </c>
      <c r="F23" s="5"/>
      <c r="G23" s="9" t="s">
        <v>204</v>
      </c>
      <c r="H23" s="1">
        <f t="shared" si="1"/>
        <v>13</v>
      </c>
      <c r="I23" s="5"/>
      <c r="J23" s="3" t="s">
        <v>189</v>
      </c>
      <c r="K23" s="3" t="s">
        <v>548</v>
      </c>
      <c r="L23" s="3" t="s">
        <v>549</v>
      </c>
      <c r="M23" s="3" t="s">
        <v>550</v>
      </c>
      <c r="N23" s="3" t="s">
        <v>189</v>
      </c>
      <c r="V23" t="s">
        <v>95</v>
      </c>
      <c r="AC23" t="s">
        <v>65</v>
      </c>
      <c r="AD23" t="s">
        <v>171</v>
      </c>
    </row>
    <row r="24" spans="1:30">
      <c r="A24" t="s">
        <v>312</v>
      </c>
      <c r="B24">
        <v>100</v>
      </c>
      <c r="C24">
        <f t="shared" si="0"/>
        <v>100</v>
      </c>
      <c r="E24" s="14" t="s">
        <v>313</v>
      </c>
      <c r="F24" s="5"/>
      <c r="G24" s="9" t="s">
        <v>210</v>
      </c>
      <c r="H24" s="1">
        <f t="shared" si="1"/>
        <v>20</v>
      </c>
      <c r="I24" s="5"/>
      <c r="J24" s="3" t="s">
        <v>189</v>
      </c>
      <c r="K24" s="3" t="s">
        <v>557</v>
      </c>
      <c r="L24" s="3">
        <v>2.2000000000000002</v>
      </c>
      <c r="M24" s="3">
        <v>0.7</v>
      </c>
      <c r="N24" s="3" t="s">
        <v>189</v>
      </c>
      <c r="V24" t="s">
        <v>96</v>
      </c>
      <c r="AC24" t="s">
        <v>71</v>
      </c>
      <c r="AD24" t="s">
        <v>172</v>
      </c>
    </row>
    <row r="25" spans="1:30">
      <c r="A25" t="s">
        <v>270</v>
      </c>
      <c r="B25">
        <v>133</v>
      </c>
      <c r="C25" s="2">
        <f t="shared" si="0"/>
        <v>133</v>
      </c>
      <c r="E25" s="13" t="s">
        <v>189</v>
      </c>
      <c r="F25" s="5"/>
      <c r="G25" s="8" t="s">
        <v>209</v>
      </c>
      <c r="H25" s="1">
        <f t="shared" si="1"/>
        <v>22</v>
      </c>
      <c r="I25" s="4"/>
      <c r="J25" s="3" t="s">
        <v>198</v>
      </c>
      <c r="K25" s="17" t="s">
        <v>558</v>
      </c>
      <c r="L25" s="3">
        <v>2.2000000000000002</v>
      </c>
      <c r="M25" s="3">
        <v>1.4</v>
      </c>
      <c r="N25" s="3"/>
      <c r="V25" t="s">
        <v>97</v>
      </c>
      <c r="AC25" t="s">
        <v>73</v>
      </c>
      <c r="AD25" t="s">
        <v>173</v>
      </c>
    </row>
    <row r="26" spans="1:30">
      <c r="A26" t="s">
        <v>316</v>
      </c>
      <c r="B26">
        <v>215</v>
      </c>
      <c r="C26">
        <f t="shared" si="0"/>
        <v>215</v>
      </c>
      <c r="E26" s="15">
        <v>1206</v>
      </c>
      <c r="F26" s="5"/>
      <c r="G26" s="9" t="s">
        <v>209</v>
      </c>
      <c r="H26" s="1">
        <f t="shared" si="1"/>
        <v>22</v>
      </c>
      <c r="I26" s="5"/>
      <c r="J26" s="3" t="s">
        <v>211</v>
      </c>
      <c r="K26" t="s">
        <v>559</v>
      </c>
      <c r="L26">
        <v>12</v>
      </c>
      <c r="M26">
        <v>0.6</v>
      </c>
      <c r="N26" s="3" t="s">
        <v>189</v>
      </c>
      <c r="V26" t="s">
        <v>98</v>
      </c>
      <c r="AC26" t="s">
        <v>419</v>
      </c>
      <c r="AD26" t="s">
        <v>174</v>
      </c>
    </row>
    <row r="27" spans="1:30">
      <c r="A27" t="s">
        <v>318</v>
      </c>
      <c r="B27">
        <v>215</v>
      </c>
      <c r="C27">
        <f t="shared" si="0"/>
        <v>215</v>
      </c>
      <c r="E27" s="14" t="s">
        <v>295</v>
      </c>
      <c r="F27" s="5"/>
      <c r="G27" s="5" t="s">
        <v>391</v>
      </c>
      <c r="H27" s="1">
        <f t="shared" si="1"/>
        <v>27</v>
      </c>
      <c r="I27" s="5" t="s">
        <v>357</v>
      </c>
      <c r="J27" s="17" t="s">
        <v>207</v>
      </c>
      <c r="K27" s="3" t="s">
        <v>560</v>
      </c>
      <c r="L27" s="3">
        <v>36</v>
      </c>
      <c r="M27" s="3">
        <v>0.4</v>
      </c>
      <c r="N27" s="3"/>
      <c r="V27" t="s">
        <v>99</v>
      </c>
      <c r="AD27" t="s">
        <v>175</v>
      </c>
    </row>
    <row r="28" spans="1:30">
      <c r="A28" t="s">
        <v>298</v>
      </c>
      <c r="B28" s="2">
        <v>220</v>
      </c>
      <c r="C28">
        <f t="shared" si="0"/>
        <v>220</v>
      </c>
      <c r="E28" s="14" t="s">
        <v>295</v>
      </c>
      <c r="F28" s="5"/>
      <c r="G28" s="19" t="s">
        <v>475</v>
      </c>
      <c r="H28" s="22">
        <f t="shared" si="1"/>
        <v>47</v>
      </c>
      <c r="I28" s="19">
        <v>50</v>
      </c>
      <c r="J28" s="23" t="s">
        <v>189</v>
      </c>
      <c r="K28" s="3" t="s">
        <v>561</v>
      </c>
      <c r="L28" s="3">
        <v>68</v>
      </c>
      <c r="M28" s="3">
        <v>0.34</v>
      </c>
      <c r="N28" s="3"/>
      <c r="V28" t="s">
        <v>100</v>
      </c>
      <c r="AD28" t="s">
        <v>176</v>
      </c>
    </row>
    <row r="29" spans="1:30">
      <c r="A29" t="s">
        <v>259</v>
      </c>
      <c r="B29" s="2">
        <v>240</v>
      </c>
      <c r="C29" s="2">
        <f t="shared" si="0"/>
        <v>240</v>
      </c>
      <c r="E29" s="13" t="s">
        <v>189</v>
      </c>
      <c r="F29" s="5"/>
      <c r="G29" s="19" t="s">
        <v>471</v>
      </c>
      <c r="H29" s="22">
        <f t="shared" si="1"/>
        <v>56</v>
      </c>
      <c r="I29" s="19">
        <v>50</v>
      </c>
      <c r="J29" s="23" t="s">
        <v>189</v>
      </c>
      <c r="K29" s="3" t="s">
        <v>562</v>
      </c>
      <c r="L29" s="3">
        <v>150</v>
      </c>
      <c r="M29" s="3">
        <v>0.08</v>
      </c>
      <c r="N29" s="3" t="s">
        <v>188</v>
      </c>
      <c r="V29" t="s">
        <v>101</v>
      </c>
      <c r="AD29" t="s">
        <v>177</v>
      </c>
    </row>
    <row r="30" spans="1:30">
      <c r="A30" t="s">
        <v>300</v>
      </c>
      <c r="B30" s="2">
        <v>249</v>
      </c>
      <c r="C30">
        <f t="shared" si="0"/>
        <v>249</v>
      </c>
      <c r="E30" s="15">
        <v>1206</v>
      </c>
      <c r="F30" s="5"/>
      <c r="G30" s="19" t="s">
        <v>466</v>
      </c>
      <c r="H30" s="22">
        <f t="shared" si="1"/>
        <v>68</v>
      </c>
      <c r="I30" s="19">
        <v>50</v>
      </c>
      <c r="J30" s="23" t="s">
        <v>189</v>
      </c>
      <c r="K30" s="5" t="s">
        <v>563</v>
      </c>
      <c r="L30">
        <v>22</v>
      </c>
      <c r="M30">
        <v>0.2</v>
      </c>
      <c r="N30" s="3" t="s">
        <v>188</v>
      </c>
      <c r="V30" t="s">
        <v>102</v>
      </c>
      <c r="AD30" t="s">
        <v>178</v>
      </c>
    </row>
    <row r="31" spans="1:30">
      <c r="A31" t="s">
        <v>269</v>
      </c>
      <c r="B31">
        <v>287</v>
      </c>
      <c r="C31" s="2">
        <f t="shared" si="0"/>
        <v>287</v>
      </c>
      <c r="E31" s="13" t="s">
        <v>189</v>
      </c>
      <c r="F31" s="5"/>
      <c r="G31" s="19" t="s">
        <v>466</v>
      </c>
      <c r="H31" s="22">
        <f t="shared" si="1"/>
        <v>68</v>
      </c>
      <c r="I31" s="19">
        <v>50</v>
      </c>
      <c r="J31" s="23" t="s">
        <v>189</v>
      </c>
      <c r="K31" t="s">
        <v>564</v>
      </c>
      <c r="L31">
        <v>27</v>
      </c>
      <c r="M31">
        <v>0.36</v>
      </c>
      <c r="N31" s="3" t="s">
        <v>189</v>
      </c>
      <c r="V31" t="s">
        <v>103</v>
      </c>
      <c r="AD31" t="s">
        <v>179</v>
      </c>
    </row>
    <row r="32" spans="1:30">
      <c r="B32" s="7">
        <v>300</v>
      </c>
      <c r="C32">
        <f t="shared" si="0"/>
        <v>300</v>
      </c>
      <c r="E32" s="14" t="s">
        <v>197</v>
      </c>
      <c r="F32" s="5"/>
      <c r="G32" s="9" t="s">
        <v>19</v>
      </c>
      <c r="H32" s="1">
        <f t="shared" si="1"/>
        <v>100</v>
      </c>
      <c r="I32" s="5"/>
      <c r="K32" s="5" t="s">
        <v>565</v>
      </c>
      <c r="L32">
        <v>100</v>
      </c>
      <c r="M32">
        <v>0.22</v>
      </c>
      <c r="N32" s="3" t="s">
        <v>189</v>
      </c>
      <c r="V32" t="s">
        <v>105</v>
      </c>
      <c r="AD32" t="s">
        <v>180</v>
      </c>
    </row>
    <row r="33" spans="1:30">
      <c r="A33" t="s">
        <v>256</v>
      </c>
      <c r="B33" s="2">
        <v>402</v>
      </c>
      <c r="C33" s="2">
        <f t="shared" si="0"/>
        <v>402</v>
      </c>
      <c r="E33" s="13" t="s">
        <v>189</v>
      </c>
      <c r="F33" s="5"/>
      <c r="G33" s="5" t="s">
        <v>349</v>
      </c>
      <c r="H33" s="1">
        <f t="shared" si="1"/>
        <v>100</v>
      </c>
      <c r="I33" s="5" t="s">
        <v>350</v>
      </c>
      <c r="J33" s="17" t="s">
        <v>188</v>
      </c>
      <c r="K33" s="3" t="s">
        <v>566</v>
      </c>
      <c r="L33" s="3">
        <v>43</v>
      </c>
      <c r="M33" s="3">
        <v>0.38</v>
      </c>
      <c r="N33" s="3"/>
      <c r="V33" t="s">
        <v>104</v>
      </c>
      <c r="AD33" t="s">
        <v>181</v>
      </c>
    </row>
    <row r="34" spans="1:30">
      <c r="A34" t="s">
        <v>299</v>
      </c>
      <c r="B34" s="2">
        <v>402</v>
      </c>
      <c r="C34">
        <f t="shared" si="0"/>
        <v>402</v>
      </c>
      <c r="E34" s="14" t="s">
        <v>295</v>
      </c>
      <c r="F34" s="5"/>
      <c r="G34" s="5" t="s">
        <v>359</v>
      </c>
      <c r="H34" s="1">
        <f t="shared" si="1"/>
        <v>100</v>
      </c>
      <c r="I34" s="5" t="s">
        <v>357</v>
      </c>
      <c r="J34" s="17" t="s">
        <v>188</v>
      </c>
      <c r="K34" t="s">
        <v>567</v>
      </c>
      <c r="L34">
        <v>4.7</v>
      </c>
      <c r="M34">
        <v>0.8</v>
      </c>
      <c r="N34" s="3" t="s">
        <v>189</v>
      </c>
      <c r="V34" t="s">
        <v>106</v>
      </c>
      <c r="AD34" t="s">
        <v>182</v>
      </c>
    </row>
    <row r="35" spans="1:30">
      <c r="A35" t="s">
        <v>255</v>
      </c>
      <c r="B35" s="2">
        <v>453</v>
      </c>
      <c r="C35" s="2">
        <f t="shared" ref="C35:C66" si="2">IF(RIGHT(B35,1)="k", VALUE(LEFT(B35,LEN(B35)-1))*1000, VALUE(B35))</f>
        <v>453</v>
      </c>
      <c r="E35" s="16" t="s">
        <v>189</v>
      </c>
      <c r="F35" s="4"/>
      <c r="G35" s="19" t="s">
        <v>459</v>
      </c>
      <c r="H35" s="22">
        <f t="shared" ref="H35:H83" si="3">IF(ISNUMBER(SEARCH("pF",G35)), VALUE(LEFT(G35,SEARCH("pF",G35)-1)),
 IF(ISNUMBER(SEARCH("nF",G35)), VALUE(LEFT(G35,SEARCH("nF",G35)-1))*1000,
 IF(ISNUMBER(SEARCH("uF",G35)), VALUE(LEFT(G35,SEARCH("uF",G35)-1))*1000000,"")))</f>
        <v>100</v>
      </c>
      <c r="I35" s="19">
        <v>5</v>
      </c>
      <c r="J35" s="23" t="s">
        <v>189</v>
      </c>
      <c r="K35" s="3" t="s">
        <v>568</v>
      </c>
      <c r="L35" s="3">
        <v>2</v>
      </c>
      <c r="M35" s="3"/>
      <c r="N35" s="3"/>
      <c r="V35" t="s">
        <v>107</v>
      </c>
    </row>
    <row r="36" spans="1:30">
      <c r="B36" s="7">
        <v>715</v>
      </c>
      <c r="C36">
        <f t="shared" si="2"/>
        <v>715</v>
      </c>
      <c r="E36" s="13" t="s">
        <v>189</v>
      </c>
      <c r="F36" s="5" t="s">
        <v>361</v>
      </c>
      <c r="G36" s="21" t="s">
        <v>579</v>
      </c>
      <c r="H36" s="22">
        <f t="shared" si="3"/>
        <v>100000</v>
      </c>
      <c r="I36" s="19"/>
      <c r="J36" s="20">
        <v>402</v>
      </c>
      <c r="K36" s="3" t="s">
        <v>569</v>
      </c>
      <c r="L36" s="3">
        <v>30</v>
      </c>
      <c r="M36" s="3">
        <v>0.42</v>
      </c>
      <c r="N36" s="3"/>
      <c r="V36" t="s">
        <v>109</v>
      </c>
    </row>
    <row r="37" spans="1:30">
      <c r="B37" s="7" t="s">
        <v>227</v>
      </c>
      <c r="C37">
        <f t="shared" si="2"/>
        <v>1000</v>
      </c>
      <c r="E37" s="14" t="s">
        <v>189</v>
      </c>
      <c r="F37" s="5" t="s">
        <v>474</v>
      </c>
      <c r="G37" s="14" t="s">
        <v>580</v>
      </c>
      <c r="H37" s="22">
        <f t="shared" si="3"/>
        <v>47</v>
      </c>
      <c r="I37" s="5"/>
      <c r="J37" s="16">
        <v>603</v>
      </c>
      <c r="K37" s="3" t="s">
        <v>570</v>
      </c>
      <c r="L37" s="3">
        <v>8.1999999999999993</v>
      </c>
      <c r="M37" s="3">
        <v>0.65</v>
      </c>
      <c r="N37" s="3" t="s">
        <v>189</v>
      </c>
      <c r="V37" t="s">
        <v>110</v>
      </c>
    </row>
    <row r="38" spans="1:30">
      <c r="B38" s="7" t="s">
        <v>190</v>
      </c>
      <c r="C38">
        <f t="shared" si="2"/>
        <v>1050</v>
      </c>
      <c r="E38" s="14" t="s">
        <v>189</v>
      </c>
      <c r="F38" t="s">
        <v>476</v>
      </c>
      <c r="G38" s="21" t="s">
        <v>581</v>
      </c>
      <c r="H38" s="22">
        <f t="shared" si="3"/>
        <v>68</v>
      </c>
      <c r="I38" s="23"/>
      <c r="J38" s="20">
        <v>603</v>
      </c>
      <c r="K38" s="3" t="s">
        <v>571</v>
      </c>
      <c r="L38" s="3">
        <v>150</v>
      </c>
      <c r="M38" s="3">
        <v>7</v>
      </c>
      <c r="N38" s="3"/>
      <c r="V38" t="s">
        <v>111</v>
      </c>
    </row>
    <row r="39" spans="1:30">
      <c r="B39" s="7" t="s">
        <v>226</v>
      </c>
      <c r="C39">
        <f t="shared" si="2"/>
        <v>1200</v>
      </c>
      <c r="E39" s="14" t="s">
        <v>197</v>
      </c>
      <c r="F39" s="5" t="s">
        <v>374</v>
      </c>
      <c r="G39" s="14" t="s">
        <v>582</v>
      </c>
      <c r="H39" s="22">
        <f t="shared" si="3"/>
        <v>10</v>
      </c>
      <c r="I39" s="5"/>
      <c r="J39" s="16">
        <v>805</v>
      </c>
      <c r="K39" s="3" t="s">
        <v>572</v>
      </c>
      <c r="L39" s="3" t="s">
        <v>573</v>
      </c>
      <c r="M39" s="3">
        <v>1.5</v>
      </c>
      <c r="N39" s="3"/>
      <c r="V39" t="s">
        <v>112</v>
      </c>
    </row>
    <row r="40" spans="1:30">
      <c r="B40" s="7" t="s">
        <v>225</v>
      </c>
      <c r="C40">
        <f t="shared" si="2"/>
        <v>1300</v>
      </c>
      <c r="E40" s="14" t="s">
        <v>189</v>
      </c>
      <c r="F40" s="5" t="s">
        <v>583</v>
      </c>
      <c r="G40" s="13" t="s">
        <v>584</v>
      </c>
      <c r="H40" s="22">
        <f t="shared" si="3"/>
        <v>0.2</v>
      </c>
      <c r="I40" s="4"/>
      <c r="J40" s="13">
        <v>603</v>
      </c>
      <c r="K40" s="17" t="s">
        <v>574</v>
      </c>
      <c r="L40" s="3">
        <v>39</v>
      </c>
      <c r="M40" s="3">
        <v>0.3</v>
      </c>
      <c r="N40" s="3"/>
      <c r="V40" t="s">
        <v>113</v>
      </c>
    </row>
    <row r="41" spans="1:30">
      <c r="B41" s="7" t="s">
        <v>225</v>
      </c>
      <c r="C41">
        <f t="shared" si="2"/>
        <v>1300</v>
      </c>
      <c r="E41" s="14" t="s">
        <v>199</v>
      </c>
      <c r="F41" s="5" t="s">
        <v>479</v>
      </c>
      <c r="G41" s="14" t="s">
        <v>585</v>
      </c>
      <c r="H41" s="22">
        <f t="shared" si="3"/>
        <v>0.3</v>
      </c>
      <c r="I41" s="5"/>
      <c r="J41" s="13">
        <v>603</v>
      </c>
      <c r="K41" s="3" t="s">
        <v>575</v>
      </c>
      <c r="L41" s="3">
        <v>18</v>
      </c>
      <c r="M41" s="3">
        <v>0.3</v>
      </c>
      <c r="N41" s="3"/>
      <c r="V41" t="s">
        <v>114</v>
      </c>
    </row>
    <row r="42" spans="1:30">
      <c r="B42" s="7" t="s">
        <v>225</v>
      </c>
      <c r="C42">
        <f t="shared" si="2"/>
        <v>1300</v>
      </c>
      <c r="E42" s="14" t="s">
        <v>197</v>
      </c>
      <c r="F42" s="5" t="s">
        <v>481</v>
      </c>
      <c r="G42" s="14" t="s">
        <v>586</v>
      </c>
      <c r="H42" s="22">
        <f t="shared" si="3"/>
        <v>0.9</v>
      </c>
      <c r="I42" s="5"/>
      <c r="J42" s="13">
        <v>603</v>
      </c>
      <c r="K42" s="3" t="s">
        <v>576</v>
      </c>
      <c r="L42" s="3">
        <v>100</v>
      </c>
      <c r="M42" s="3">
        <v>0.4</v>
      </c>
      <c r="N42" s="3"/>
      <c r="V42" t="s">
        <v>115</v>
      </c>
    </row>
    <row r="43" spans="1:30">
      <c r="B43" s="7" t="s">
        <v>224</v>
      </c>
      <c r="C43">
        <f t="shared" si="2"/>
        <v>1500</v>
      </c>
      <c r="E43" s="14" t="s">
        <v>197</v>
      </c>
      <c r="F43" s="5" t="s">
        <v>460</v>
      </c>
      <c r="G43" s="21" t="s">
        <v>587</v>
      </c>
      <c r="H43" s="22">
        <f t="shared" si="3"/>
        <v>4.7</v>
      </c>
      <c r="I43" s="19"/>
      <c r="J43" s="20">
        <v>603</v>
      </c>
      <c r="K43" s="3" t="s">
        <v>577</v>
      </c>
      <c r="L43" s="3" t="s">
        <v>578</v>
      </c>
      <c r="M43" s="3"/>
      <c r="N43" s="3"/>
      <c r="V43" t="s">
        <v>116</v>
      </c>
    </row>
    <row r="44" spans="1:30">
      <c r="A44" t="s">
        <v>287</v>
      </c>
      <c r="B44" s="2" t="s">
        <v>288</v>
      </c>
      <c r="C44" s="2">
        <f t="shared" si="2"/>
        <v>2000</v>
      </c>
      <c r="E44" s="13" t="s">
        <v>189</v>
      </c>
      <c r="F44" s="5" t="s">
        <v>362</v>
      </c>
      <c r="G44" s="14" t="s">
        <v>587</v>
      </c>
      <c r="H44" s="22">
        <f t="shared" si="3"/>
        <v>4.7</v>
      </c>
      <c r="I44" s="5"/>
      <c r="J44" s="16">
        <v>603</v>
      </c>
      <c r="V44" t="s">
        <v>117</v>
      </c>
    </row>
    <row r="45" spans="1:30">
      <c r="A45" t="s">
        <v>319</v>
      </c>
      <c r="B45" t="s">
        <v>320</v>
      </c>
      <c r="C45">
        <f t="shared" si="2"/>
        <v>2210</v>
      </c>
      <c r="E45" s="14" t="s">
        <v>313</v>
      </c>
      <c r="F45" s="5" t="s">
        <v>484</v>
      </c>
      <c r="G45" s="14" t="s">
        <v>588</v>
      </c>
      <c r="H45" s="22">
        <f t="shared" si="3"/>
        <v>5.6</v>
      </c>
      <c r="I45" s="5"/>
      <c r="J45" s="13">
        <v>603</v>
      </c>
      <c r="V45" t="s">
        <v>118</v>
      </c>
    </row>
    <row r="46" spans="1:30">
      <c r="B46" s="7" t="s">
        <v>187</v>
      </c>
      <c r="C46">
        <f t="shared" si="2"/>
        <v>3320</v>
      </c>
      <c r="E46" s="13" t="s">
        <v>189</v>
      </c>
      <c r="F46" s="5" t="s">
        <v>467</v>
      </c>
      <c r="G46" s="14" t="s">
        <v>589</v>
      </c>
      <c r="H46" s="22">
        <f t="shared" si="3"/>
        <v>6.8</v>
      </c>
      <c r="I46" s="5"/>
      <c r="J46" s="13">
        <v>603</v>
      </c>
      <c r="V46" t="s">
        <v>119</v>
      </c>
    </row>
    <row r="47" spans="1:30">
      <c r="B47" s="7" t="s">
        <v>187</v>
      </c>
      <c r="C47">
        <f t="shared" si="2"/>
        <v>3320</v>
      </c>
      <c r="E47" s="14" t="s">
        <v>197</v>
      </c>
      <c r="F47" s="5" t="s">
        <v>355</v>
      </c>
      <c r="G47" s="21" t="s">
        <v>590</v>
      </c>
      <c r="H47" s="22">
        <f t="shared" ref="H47:H83" si="4">IF(ISNUMBER(SEARCH("pF",G47)), VALUE(LEFT(G47,SEARCH("pF",G47)-1)),
 IF(ISNUMBER(SEARCH("nF",G47)), VALUE(LEFT(G47,SEARCH("nF",G47)-1))*1000,
 IF(ISNUMBER(SEARCH("µF",G47)), VALUE(LEFT(G47,SEARCH("µF",G47)-1))*1000000,"")))</f>
        <v>3</v>
      </c>
      <c r="I47" s="19"/>
      <c r="J47" s="20">
        <v>402</v>
      </c>
      <c r="V47" t="s">
        <v>120</v>
      </c>
    </row>
    <row r="48" spans="1:30">
      <c r="B48" s="7" t="s">
        <v>223</v>
      </c>
      <c r="C48">
        <f t="shared" si="2"/>
        <v>3920</v>
      </c>
      <c r="E48" s="14" t="s">
        <v>197</v>
      </c>
      <c r="F48" s="5" t="s">
        <v>348</v>
      </c>
      <c r="G48" s="14" t="s">
        <v>19</v>
      </c>
      <c r="H48" s="22">
        <f t="shared" si="4"/>
        <v>100</v>
      </c>
      <c r="I48" s="5"/>
      <c r="J48" s="13">
        <v>402</v>
      </c>
      <c r="V48" t="s">
        <v>121</v>
      </c>
    </row>
    <row r="49" spans="1:22">
      <c r="A49" t="s">
        <v>278</v>
      </c>
      <c r="B49" s="2" t="s">
        <v>279</v>
      </c>
      <c r="C49" s="2">
        <f t="shared" si="2"/>
        <v>4750</v>
      </c>
      <c r="E49" s="13" t="s">
        <v>189</v>
      </c>
      <c r="F49" s="5" t="s">
        <v>470</v>
      </c>
      <c r="G49" s="14" t="s">
        <v>591</v>
      </c>
      <c r="H49" s="22">
        <f t="shared" si="4"/>
        <v>56</v>
      </c>
      <c r="I49" s="5"/>
      <c r="J49" s="15">
        <v>603</v>
      </c>
      <c r="V49" t="s">
        <v>122</v>
      </c>
    </row>
    <row r="50" spans="1:22">
      <c r="B50" s="7" t="s">
        <v>222</v>
      </c>
      <c r="C50">
        <f t="shared" si="2"/>
        <v>5000</v>
      </c>
      <c r="E50" s="14" t="s">
        <v>197</v>
      </c>
      <c r="F50" s="5" t="s">
        <v>472</v>
      </c>
      <c r="G50" s="14" t="s">
        <v>588</v>
      </c>
      <c r="H50" s="22">
        <f t="shared" si="4"/>
        <v>5.6</v>
      </c>
      <c r="I50" s="5"/>
      <c r="J50" s="16">
        <v>603</v>
      </c>
      <c r="V50" t="s">
        <v>123</v>
      </c>
    </row>
    <row r="51" spans="1:22">
      <c r="B51" s="7" t="s">
        <v>221</v>
      </c>
      <c r="C51">
        <f t="shared" si="2"/>
        <v>6650</v>
      </c>
      <c r="E51" s="14" t="s">
        <v>197</v>
      </c>
      <c r="F51" s="5" t="s">
        <v>389</v>
      </c>
      <c r="G51" s="21" t="s">
        <v>592</v>
      </c>
      <c r="H51" s="22">
        <f t="shared" si="4"/>
        <v>1000000</v>
      </c>
      <c r="I51" s="19"/>
      <c r="J51" s="20">
        <v>805</v>
      </c>
      <c r="V51" t="s">
        <v>124</v>
      </c>
    </row>
    <row r="52" spans="1:22">
      <c r="A52" t="s">
        <v>284</v>
      </c>
      <c r="B52" s="2" t="s">
        <v>285</v>
      </c>
      <c r="C52" s="2">
        <f t="shared" si="2"/>
        <v>7150</v>
      </c>
      <c r="E52" s="13" t="s">
        <v>189</v>
      </c>
      <c r="F52" s="5" t="s">
        <v>377</v>
      </c>
      <c r="G52" s="14" t="s">
        <v>593</v>
      </c>
      <c r="H52" s="22">
        <f t="shared" si="4"/>
        <v>820</v>
      </c>
      <c r="I52" s="5"/>
      <c r="J52" s="13">
        <v>805</v>
      </c>
      <c r="V52" t="s">
        <v>125</v>
      </c>
    </row>
    <row r="53" spans="1:22">
      <c r="A53" t="s">
        <v>286</v>
      </c>
      <c r="B53" s="2" t="s">
        <v>285</v>
      </c>
      <c r="C53" s="2">
        <f t="shared" si="2"/>
        <v>7150</v>
      </c>
      <c r="E53" s="13" t="s">
        <v>189</v>
      </c>
      <c r="F53" s="5" t="s">
        <v>594</v>
      </c>
      <c r="G53" s="14" t="s">
        <v>595</v>
      </c>
      <c r="H53" s="22">
        <f>IF(ISNUMBER(SEARCH("pF",G53)), VALUE(LEFT(G53,SEARCH("pF",G53)-1)),
 IF(ISNUMBER(SEARCH("nF",G53)), VALUE(LEFT(G53,SEARCH("nF",G53)-1))*1000,
 IF(ISNUMBER(SEARCH("µF",G53)), VALUE(LEFT(G53,SEARCH("µF",G53)-1))*1000000,"")))</f>
        <v>10000000</v>
      </c>
      <c r="I53" s="5"/>
      <c r="J53" s="13">
        <v>603</v>
      </c>
      <c r="V53" t="s">
        <v>126</v>
      </c>
    </row>
    <row r="54" spans="1:22">
      <c r="B54" s="7" t="s">
        <v>193</v>
      </c>
      <c r="C54">
        <f t="shared" si="2"/>
        <v>8060.0000000000009</v>
      </c>
      <c r="E54" s="14" t="s">
        <v>188</v>
      </c>
      <c r="F54" s="5" t="s">
        <v>376</v>
      </c>
      <c r="G54" s="14" t="s">
        <v>596</v>
      </c>
      <c r="H54" s="22">
        <f t="shared" si="4"/>
        <v>15000000</v>
      </c>
      <c r="I54" s="5"/>
      <c r="J54" s="13">
        <v>805</v>
      </c>
      <c r="V54" t="s">
        <v>127</v>
      </c>
    </row>
    <row r="55" spans="1:22">
      <c r="A55" t="s">
        <v>267</v>
      </c>
      <c r="B55" s="2" t="s">
        <v>268</v>
      </c>
      <c r="C55" s="2">
        <f t="shared" si="2"/>
        <v>8870</v>
      </c>
      <c r="E55" s="13" t="s">
        <v>207</v>
      </c>
      <c r="F55" s="5" t="s">
        <v>365</v>
      </c>
      <c r="G55" s="14" t="s">
        <v>597</v>
      </c>
      <c r="H55" s="22">
        <f t="shared" si="4"/>
        <v>33000000</v>
      </c>
      <c r="I55" s="5"/>
      <c r="J55" s="16">
        <v>1206</v>
      </c>
      <c r="V55" t="s">
        <v>128</v>
      </c>
    </row>
    <row r="56" spans="1:22">
      <c r="B56" s="7" t="s">
        <v>220</v>
      </c>
      <c r="C56">
        <f t="shared" si="2"/>
        <v>12000</v>
      </c>
      <c r="E56" s="14" t="s">
        <v>191</v>
      </c>
      <c r="F56" s="5" t="s">
        <v>369</v>
      </c>
      <c r="G56" s="14" t="s">
        <v>598</v>
      </c>
      <c r="H56" s="22">
        <f t="shared" si="4"/>
        <v>47000000</v>
      </c>
      <c r="I56" s="5"/>
      <c r="J56" s="13">
        <v>1206</v>
      </c>
      <c r="V56" t="s">
        <v>129</v>
      </c>
    </row>
    <row r="57" spans="1:22">
      <c r="A57" t="s">
        <v>280</v>
      </c>
      <c r="B57" s="2" t="s">
        <v>281</v>
      </c>
      <c r="C57" s="2">
        <f t="shared" si="2"/>
        <v>12100</v>
      </c>
      <c r="E57" s="13" t="s">
        <v>189</v>
      </c>
      <c r="F57" s="5" t="s">
        <v>465</v>
      </c>
      <c r="G57" s="14" t="s">
        <v>581</v>
      </c>
      <c r="H57" s="22">
        <f t="shared" si="4"/>
        <v>68</v>
      </c>
      <c r="I57" s="5"/>
      <c r="J57" s="13">
        <v>603</v>
      </c>
      <c r="V57" t="s">
        <v>130</v>
      </c>
    </row>
    <row r="58" spans="1:22">
      <c r="B58" s="7" t="s">
        <v>219</v>
      </c>
      <c r="C58">
        <f t="shared" si="2"/>
        <v>16900</v>
      </c>
      <c r="E58" s="14" t="s">
        <v>191</v>
      </c>
      <c r="F58" s="5" t="s">
        <v>477</v>
      </c>
      <c r="G58" s="14" t="s">
        <v>599</v>
      </c>
      <c r="H58" s="22">
        <f t="shared" si="4"/>
        <v>500</v>
      </c>
      <c r="I58" s="5"/>
      <c r="J58" s="13">
        <v>603</v>
      </c>
      <c r="V58" t="s">
        <v>131</v>
      </c>
    </row>
    <row r="59" spans="1:22">
      <c r="A59" t="s">
        <v>272</v>
      </c>
      <c r="B59" s="2" t="s">
        <v>273</v>
      </c>
      <c r="C59" s="2">
        <f t="shared" si="2"/>
        <v>17400</v>
      </c>
      <c r="E59" s="13" t="s">
        <v>189</v>
      </c>
      <c r="F59" s="5" t="s">
        <v>600</v>
      </c>
      <c r="G59" s="21" t="s">
        <v>601</v>
      </c>
      <c r="H59" s="22">
        <f t="shared" si="4"/>
        <v>22000000</v>
      </c>
      <c r="I59" s="19"/>
      <c r="J59" s="20">
        <v>1206</v>
      </c>
      <c r="V59" t="s">
        <v>132</v>
      </c>
    </row>
    <row r="60" spans="1:22">
      <c r="A60" t="s">
        <v>289</v>
      </c>
      <c r="B60" s="2" t="s">
        <v>273</v>
      </c>
      <c r="C60" s="2">
        <f t="shared" si="2"/>
        <v>17400</v>
      </c>
      <c r="E60" s="13" t="s">
        <v>189</v>
      </c>
      <c r="F60" s="5" t="s">
        <v>462</v>
      </c>
      <c r="G60" s="21" t="s">
        <v>602</v>
      </c>
      <c r="H60" s="22">
        <f t="shared" si="4"/>
        <v>4700000</v>
      </c>
      <c r="I60" s="19"/>
      <c r="J60" s="20">
        <v>603</v>
      </c>
      <c r="V60" t="s">
        <v>133</v>
      </c>
    </row>
    <row r="61" spans="1:22">
      <c r="B61" s="7" t="s">
        <v>192</v>
      </c>
      <c r="C61">
        <f t="shared" si="2"/>
        <v>18000</v>
      </c>
      <c r="E61" s="14" t="s">
        <v>188</v>
      </c>
      <c r="F61" s="5" t="s">
        <v>392</v>
      </c>
      <c r="G61" s="14" t="s">
        <v>598</v>
      </c>
      <c r="H61" s="22">
        <f t="shared" si="4"/>
        <v>47000000</v>
      </c>
      <c r="I61" s="5"/>
      <c r="J61" s="16">
        <v>805</v>
      </c>
      <c r="V61" t="s">
        <v>130</v>
      </c>
    </row>
    <row r="62" spans="1:22">
      <c r="A62" t="s">
        <v>274</v>
      </c>
      <c r="B62" s="2" t="s">
        <v>275</v>
      </c>
      <c r="C62" s="2">
        <f t="shared" si="2"/>
        <v>20000</v>
      </c>
      <c r="E62" s="13" t="s">
        <v>189</v>
      </c>
      <c r="F62" s="5" t="s">
        <v>358</v>
      </c>
      <c r="G62" s="21" t="s">
        <v>19</v>
      </c>
      <c r="H62" s="22">
        <f t="shared" si="4"/>
        <v>100</v>
      </c>
      <c r="I62" s="19"/>
      <c r="J62" s="20">
        <v>402</v>
      </c>
      <c r="V62" t="s">
        <v>134</v>
      </c>
    </row>
    <row r="63" spans="1:22">
      <c r="A63" t="s">
        <v>303</v>
      </c>
      <c r="B63" t="s">
        <v>304</v>
      </c>
      <c r="C63">
        <f t="shared" si="2"/>
        <v>20000</v>
      </c>
      <c r="E63" s="14" t="s">
        <v>305</v>
      </c>
      <c r="F63" s="5" t="s">
        <v>360</v>
      </c>
      <c r="G63" s="14" t="s">
        <v>602</v>
      </c>
      <c r="H63" s="22">
        <f t="shared" si="4"/>
        <v>4700000</v>
      </c>
      <c r="I63" s="5"/>
      <c r="J63" s="13">
        <v>402</v>
      </c>
      <c r="V63" t="s">
        <v>135</v>
      </c>
    </row>
    <row r="64" spans="1:22">
      <c r="A64" t="s">
        <v>276</v>
      </c>
      <c r="B64" s="2" t="s">
        <v>277</v>
      </c>
      <c r="C64" s="2">
        <f t="shared" si="2"/>
        <v>27000</v>
      </c>
      <c r="E64" s="13" t="s">
        <v>189</v>
      </c>
      <c r="F64" s="19" t="s">
        <v>353</v>
      </c>
      <c r="G64" s="14" t="s">
        <v>603</v>
      </c>
      <c r="H64" s="22">
        <f t="shared" si="4"/>
        <v>1.8</v>
      </c>
      <c r="I64" s="5"/>
      <c r="J64" s="15">
        <v>402</v>
      </c>
      <c r="V64" t="s">
        <v>136</v>
      </c>
    </row>
    <row r="65" spans="1:22">
      <c r="A65" t="s">
        <v>282</v>
      </c>
      <c r="B65" s="2" t="s">
        <v>283</v>
      </c>
      <c r="C65" s="2">
        <f t="shared" si="2"/>
        <v>28000</v>
      </c>
      <c r="E65" s="13" t="s">
        <v>189</v>
      </c>
      <c r="F65" s="19" t="s">
        <v>351</v>
      </c>
      <c r="G65" s="14" t="s">
        <v>586</v>
      </c>
      <c r="H65" s="22">
        <f t="shared" si="4"/>
        <v>0.9</v>
      </c>
      <c r="I65" s="5"/>
      <c r="J65" s="13">
        <v>402</v>
      </c>
      <c r="V65" t="s">
        <v>137</v>
      </c>
    </row>
    <row r="66" spans="1:22">
      <c r="B66" s="7" t="s">
        <v>218</v>
      </c>
      <c r="C66">
        <f t="shared" si="2"/>
        <v>30000</v>
      </c>
      <c r="E66" s="14" t="s">
        <v>189</v>
      </c>
      <c r="F66" s="19" t="s">
        <v>478</v>
      </c>
      <c r="G66" s="14" t="s">
        <v>604</v>
      </c>
      <c r="H66" s="22">
        <f t="shared" si="4"/>
        <v>10000</v>
      </c>
      <c r="I66" s="5"/>
      <c r="J66" s="16">
        <v>603</v>
      </c>
      <c r="V66" t="s">
        <v>138</v>
      </c>
    </row>
    <row r="67" spans="1:22">
      <c r="A67" t="s">
        <v>257</v>
      </c>
      <c r="B67" s="2" t="s">
        <v>258</v>
      </c>
      <c r="C67" s="2">
        <f t="shared" ref="C67:C84" si="5">IF(RIGHT(B67,1)="k", VALUE(LEFT(B67,LEN(B67)-1))*1000, VALUE(B67))</f>
        <v>30000</v>
      </c>
      <c r="E67" s="13" t="s">
        <v>189</v>
      </c>
      <c r="F67" s="19" t="s">
        <v>458</v>
      </c>
      <c r="G67" s="14" t="s">
        <v>19</v>
      </c>
      <c r="H67" s="22">
        <f t="shared" si="4"/>
        <v>100</v>
      </c>
      <c r="I67" s="5"/>
      <c r="J67" s="13">
        <v>603</v>
      </c>
      <c r="V67" t="s">
        <v>139</v>
      </c>
    </row>
    <row r="68" spans="1:22">
      <c r="A68" t="s">
        <v>271</v>
      </c>
      <c r="B68" s="2" t="s">
        <v>258</v>
      </c>
      <c r="C68" s="2">
        <f t="shared" si="5"/>
        <v>30000</v>
      </c>
      <c r="E68" s="13" t="s">
        <v>189</v>
      </c>
      <c r="F68" s="19" t="s">
        <v>390</v>
      </c>
      <c r="G68" s="21" t="s">
        <v>605</v>
      </c>
      <c r="H68" s="22">
        <f t="shared" si="4"/>
        <v>27</v>
      </c>
      <c r="I68" s="19"/>
      <c r="J68" s="20">
        <v>805</v>
      </c>
      <c r="V68" t="s">
        <v>140</v>
      </c>
    </row>
    <row r="69" spans="1:22">
      <c r="A69" t="s">
        <v>290</v>
      </c>
      <c r="B69" s="2" t="s">
        <v>258</v>
      </c>
      <c r="C69" s="2">
        <f t="shared" si="5"/>
        <v>30000</v>
      </c>
      <c r="E69" s="13" t="s">
        <v>189</v>
      </c>
      <c r="F69" s="19" t="s">
        <v>388</v>
      </c>
      <c r="G69" s="14" t="s">
        <v>606</v>
      </c>
      <c r="H69" s="22">
        <f t="shared" si="4"/>
        <v>390</v>
      </c>
      <c r="I69" s="5"/>
      <c r="J69" s="16">
        <v>805</v>
      </c>
      <c r="V69" t="s">
        <v>141</v>
      </c>
    </row>
    <row r="70" spans="1:22">
      <c r="B70" s="7" t="s">
        <v>195</v>
      </c>
      <c r="C70">
        <f t="shared" si="5"/>
        <v>38300</v>
      </c>
      <c r="E70" s="14" t="s">
        <v>188</v>
      </c>
      <c r="F70" s="19" t="s">
        <v>370</v>
      </c>
      <c r="G70" s="14" t="s">
        <v>601</v>
      </c>
      <c r="H70" s="22">
        <f t="shared" si="4"/>
        <v>22000000</v>
      </c>
      <c r="I70" s="5"/>
      <c r="J70" s="13" t="s">
        <v>607</v>
      </c>
      <c r="V70" t="s">
        <v>142</v>
      </c>
    </row>
    <row r="71" spans="1:22">
      <c r="B71" s="7" t="s">
        <v>194</v>
      </c>
      <c r="C71">
        <f t="shared" si="5"/>
        <v>47000</v>
      </c>
      <c r="E71" s="14" t="s">
        <v>188</v>
      </c>
      <c r="F71" s="19" t="s">
        <v>417</v>
      </c>
      <c r="G71" s="14" t="s">
        <v>595</v>
      </c>
      <c r="H71" s="22">
        <f t="shared" si="4"/>
        <v>10000000</v>
      </c>
      <c r="I71" s="5"/>
      <c r="J71" s="16" t="s">
        <v>608</v>
      </c>
      <c r="V71" t="s">
        <v>143</v>
      </c>
    </row>
    <row r="72" spans="1:22">
      <c r="B72" s="7" t="s">
        <v>217</v>
      </c>
      <c r="C72">
        <f t="shared" si="5"/>
        <v>60400</v>
      </c>
      <c r="E72" s="14" t="s">
        <v>197</v>
      </c>
      <c r="F72" s="19" t="s">
        <v>371</v>
      </c>
      <c r="G72" s="14" t="s">
        <v>595</v>
      </c>
      <c r="H72" s="22">
        <f t="shared" si="4"/>
        <v>10000000</v>
      </c>
      <c r="I72" s="5"/>
      <c r="J72" s="16">
        <v>1206</v>
      </c>
      <c r="V72" t="s">
        <v>119</v>
      </c>
    </row>
    <row r="73" spans="1:22">
      <c r="B73" s="7" t="s">
        <v>196</v>
      </c>
      <c r="C73">
        <f t="shared" si="5"/>
        <v>82000</v>
      </c>
      <c r="E73" s="14" t="s">
        <v>188</v>
      </c>
      <c r="F73" s="19" t="s">
        <v>485</v>
      </c>
      <c r="G73" s="14" t="s">
        <v>609</v>
      </c>
      <c r="H73" s="22">
        <f t="shared" si="4"/>
        <v>1000</v>
      </c>
      <c r="I73" s="5"/>
      <c r="J73" s="16">
        <v>402</v>
      </c>
      <c r="V73" t="s">
        <v>144</v>
      </c>
    </row>
    <row r="74" spans="1:22">
      <c r="A74" t="s">
        <v>292</v>
      </c>
      <c r="B74" s="2" t="s">
        <v>293</v>
      </c>
      <c r="C74" s="2">
        <f t="shared" si="5"/>
        <v>88700</v>
      </c>
      <c r="F74" s="19" t="s">
        <v>463</v>
      </c>
      <c r="G74" s="14" t="s">
        <v>610</v>
      </c>
      <c r="H74" s="22">
        <f t="shared" si="4"/>
        <v>2200000</v>
      </c>
      <c r="I74" s="5"/>
      <c r="J74" s="15">
        <v>603</v>
      </c>
      <c r="V74" t="s">
        <v>145</v>
      </c>
    </row>
    <row r="75" spans="1:22">
      <c r="A75" t="s">
        <v>265</v>
      </c>
      <c r="B75" s="2" t="s">
        <v>266</v>
      </c>
      <c r="C75" s="2">
        <f t="shared" si="5"/>
        <v>102000</v>
      </c>
      <c r="E75" s="13" t="s">
        <v>189</v>
      </c>
      <c r="F75" s="19" t="s">
        <v>469</v>
      </c>
      <c r="G75" s="14" t="s">
        <v>579</v>
      </c>
      <c r="H75" s="22">
        <f t="shared" si="4"/>
        <v>100000</v>
      </c>
      <c r="I75" s="5"/>
      <c r="J75" s="16">
        <v>603</v>
      </c>
      <c r="V75" t="s">
        <v>146</v>
      </c>
    </row>
    <row r="76" spans="1:22">
      <c r="A76" t="s">
        <v>291</v>
      </c>
      <c r="B76" s="2" t="s">
        <v>266</v>
      </c>
      <c r="C76" s="2">
        <f t="shared" si="5"/>
        <v>102000</v>
      </c>
      <c r="E76" s="13" t="s">
        <v>189</v>
      </c>
      <c r="F76" s="19" t="s">
        <v>378</v>
      </c>
      <c r="G76" s="14" t="s">
        <v>611</v>
      </c>
      <c r="H76" s="22">
        <f t="shared" si="4"/>
        <v>3300</v>
      </c>
      <c r="I76" s="5"/>
      <c r="J76" s="16">
        <v>805</v>
      </c>
      <c r="V76" t="s">
        <v>147</v>
      </c>
    </row>
    <row r="77" spans="1:22">
      <c r="A77" t="s">
        <v>263</v>
      </c>
      <c r="B77" s="2" t="s">
        <v>264</v>
      </c>
      <c r="C77" s="2">
        <f t="shared" si="5"/>
        <v>120000</v>
      </c>
      <c r="E77" s="13" t="s">
        <v>189</v>
      </c>
      <c r="F77" s="19" t="s">
        <v>373</v>
      </c>
      <c r="G77" s="14" t="s">
        <v>601</v>
      </c>
      <c r="H77" s="22">
        <f t="shared" si="4"/>
        <v>22000000</v>
      </c>
      <c r="I77" s="5"/>
      <c r="J77" s="16">
        <v>805</v>
      </c>
      <c r="V77" t="s">
        <v>148</v>
      </c>
    </row>
    <row r="78" spans="1:22">
      <c r="A78" t="s">
        <v>310</v>
      </c>
      <c r="B78" t="s">
        <v>311</v>
      </c>
      <c r="C78">
        <f t="shared" si="5"/>
        <v>140000</v>
      </c>
      <c r="E78" s="14" t="s">
        <v>295</v>
      </c>
      <c r="F78" s="19" t="s">
        <v>366</v>
      </c>
      <c r="G78" s="14" t="s">
        <v>601</v>
      </c>
      <c r="H78" s="22">
        <f t="shared" si="4"/>
        <v>22000000</v>
      </c>
      <c r="I78" s="5"/>
      <c r="J78" s="16">
        <v>1210</v>
      </c>
      <c r="V78" t="s">
        <v>422</v>
      </c>
    </row>
    <row r="79" spans="1:22">
      <c r="A79" t="s">
        <v>261</v>
      </c>
      <c r="B79" s="2" t="s">
        <v>262</v>
      </c>
      <c r="C79" s="2">
        <f t="shared" si="5"/>
        <v>150000</v>
      </c>
      <c r="E79" s="13" t="s">
        <v>189</v>
      </c>
      <c r="F79" s="19" t="s">
        <v>464</v>
      </c>
      <c r="G79" s="14" t="s">
        <v>610</v>
      </c>
      <c r="H79" s="22">
        <f t="shared" si="4"/>
        <v>2200000</v>
      </c>
      <c r="I79" s="5"/>
      <c r="J79" s="16">
        <v>603</v>
      </c>
    </row>
    <row r="80" spans="1:22">
      <c r="A80" t="s">
        <v>306</v>
      </c>
      <c r="B80" t="s">
        <v>307</v>
      </c>
      <c r="C80">
        <f t="shared" si="5"/>
        <v>180000</v>
      </c>
      <c r="E80" s="14" t="s">
        <v>295</v>
      </c>
      <c r="F80" s="19" t="s">
        <v>379</v>
      </c>
      <c r="G80" s="15" t="s">
        <v>612</v>
      </c>
      <c r="H80" s="22">
        <f t="shared" si="4"/>
        <v>0.1</v>
      </c>
      <c r="I80" s="5"/>
      <c r="J80" s="15">
        <v>505</v>
      </c>
    </row>
    <row r="81" spans="1:15">
      <c r="B81" s="7" t="s">
        <v>216</v>
      </c>
      <c r="C81">
        <f t="shared" si="5"/>
        <v>191000</v>
      </c>
      <c r="E81" s="14" t="s">
        <v>197</v>
      </c>
      <c r="F81" s="19" t="s">
        <v>367</v>
      </c>
      <c r="G81" s="14" t="s">
        <v>614</v>
      </c>
      <c r="H81" s="22">
        <f t="shared" si="4"/>
        <v>100000000</v>
      </c>
      <c r="I81" s="5"/>
      <c r="J81" s="13" t="s">
        <v>613</v>
      </c>
    </row>
    <row r="82" spans="1:15">
      <c r="B82" s="7" t="s">
        <v>215</v>
      </c>
      <c r="C82">
        <f t="shared" si="5"/>
        <v>200000</v>
      </c>
      <c r="E82" s="14" t="s">
        <v>191</v>
      </c>
      <c r="F82" s="19" t="s">
        <v>368</v>
      </c>
      <c r="G82" s="14" t="s">
        <v>601</v>
      </c>
      <c r="H82" s="22">
        <f t="shared" si="4"/>
        <v>22000000</v>
      </c>
      <c r="I82" s="5"/>
      <c r="J82" s="13">
        <v>1210</v>
      </c>
      <c r="M82" s="18"/>
      <c r="N82" s="18"/>
      <c r="O82" s="18"/>
    </row>
    <row r="83" spans="1:15">
      <c r="A83" t="s">
        <v>308</v>
      </c>
      <c r="B83" t="s">
        <v>309</v>
      </c>
      <c r="C83">
        <f t="shared" si="5"/>
        <v>249000</v>
      </c>
      <c r="E83" s="14" t="s">
        <v>295</v>
      </c>
      <c r="F83" s="19" t="s">
        <v>426</v>
      </c>
      <c r="G83" s="15" t="s">
        <v>616</v>
      </c>
      <c r="H83" s="22">
        <f t="shared" si="4"/>
        <v>1</v>
      </c>
      <c r="I83" s="4"/>
      <c r="J83" s="15" t="s">
        <v>615</v>
      </c>
      <c r="M83" s="18"/>
      <c r="N83" s="18"/>
      <c r="O83" s="18"/>
    </row>
    <row r="84" spans="1:15">
      <c r="B84" s="7" t="s">
        <v>214</v>
      </c>
      <c r="C84">
        <f t="shared" si="5"/>
        <v>250000</v>
      </c>
      <c r="E84" s="14" t="s">
        <v>191</v>
      </c>
      <c r="F84" s="19"/>
      <c r="G84" s="2"/>
      <c r="H84" s="1"/>
      <c r="I84" s="5"/>
      <c r="M84" s="18"/>
      <c r="N84" s="18"/>
      <c r="O84" s="18"/>
    </row>
    <row r="85" spans="1:15">
      <c r="A85" t="s">
        <v>253</v>
      </c>
      <c r="B85" s="7" t="s">
        <v>213</v>
      </c>
      <c r="C85">
        <f>IF(RIGHT(B85,1)="K",VALUE(LEFT(B85,LEN(B85)-1))*1000,VALUE(B85))</f>
        <v>634000</v>
      </c>
      <c r="E85" s="14" t="s">
        <v>191</v>
      </c>
      <c r="F85" s="19"/>
      <c r="G85" s="19"/>
      <c r="H85" s="19"/>
      <c r="I85" s="19"/>
      <c r="J85" s="19"/>
      <c r="M85" s="18"/>
      <c r="N85" s="18"/>
      <c r="O85" s="18"/>
    </row>
    <row r="86" spans="1:15">
      <c r="A86" t="s">
        <v>324</v>
      </c>
      <c r="B86" s="7" t="s">
        <v>325</v>
      </c>
      <c r="C86">
        <f>IF(RIGHT(B86,1)="K",VALUE(LEFT(B86,LEN(B86)-1))*1000,VALUE(B86))</f>
        <v>82000</v>
      </c>
      <c r="E86" s="13" t="s">
        <v>189</v>
      </c>
      <c r="F86" s="39"/>
      <c r="G86" s="39"/>
      <c r="H86" s="39"/>
      <c r="I86" s="19"/>
      <c r="J86" s="19"/>
      <c r="M86" s="18"/>
      <c r="N86" s="18"/>
      <c r="O86" s="18"/>
    </row>
    <row r="87" spans="1:15">
      <c r="A87" t="s">
        <v>326</v>
      </c>
      <c r="B87">
        <v>3.16</v>
      </c>
      <c r="C87">
        <f t="shared" ref="C87:C130" si="6">IF(RIGHT(B87,1)="K",VALUE(LEFT(B87,LEN(B87)-1))*1000,VALUE(B87))</f>
        <v>3.16</v>
      </c>
      <c r="F87" s="39"/>
      <c r="G87" s="40"/>
      <c r="H87" s="39"/>
    </row>
    <row r="88" spans="1:15">
      <c r="A88" t="s">
        <v>327</v>
      </c>
      <c r="B88" s="7" t="s">
        <v>328</v>
      </c>
      <c r="C88">
        <f t="shared" si="6"/>
        <v>3600</v>
      </c>
      <c r="E88" s="13" t="s">
        <v>189</v>
      </c>
      <c r="F88" s="39"/>
      <c r="G88" s="40"/>
      <c r="H88" s="39"/>
    </row>
    <row r="89" spans="1:15">
      <c r="A89" t="s">
        <v>329</v>
      </c>
      <c r="B89" s="7" t="s">
        <v>328</v>
      </c>
      <c r="C89">
        <f t="shared" si="6"/>
        <v>3600</v>
      </c>
      <c r="E89" s="13" t="s">
        <v>189</v>
      </c>
      <c r="F89" s="39"/>
      <c r="G89" s="40"/>
      <c r="H89" s="39"/>
    </row>
    <row r="90" spans="1:15">
      <c r="A90" t="s">
        <v>330</v>
      </c>
      <c r="B90">
        <v>150</v>
      </c>
      <c r="C90">
        <f t="shared" si="6"/>
        <v>150</v>
      </c>
      <c r="E90" s="13" t="s">
        <v>189</v>
      </c>
      <c r="F90" s="39"/>
      <c r="G90" s="40"/>
      <c r="H90" s="39"/>
    </row>
    <row r="91" spans="1:15">
      <c r="A91" t="s">
        <v>331</v>
      </c>
      <c r="B91">
        <v>113</v>
      </c>
      <c r="C91">
        <f t="shared" si="6"/>
        <v>113</v>
      </c>
      <c r="E91" s="13" t="s">
        <v>198</v>
      </c>
      <c r="F91" s="39"/>
      <c r="G91" s="40"/>
      <c r="H91" s="39"/>
    </row>
    <row r="92" spans="1:15">
      <c r="A92" t="s">
        <v>332</v>
      </c>
      <c r="B92" t="s">
        <v>333</v>
      </c>
      <c r="C92">
        <f t="shared" si="6"/>
        <v>4990</v>
      </c>
      <c r="E92" s="13" t="s">
        <v>189</v>
      </c>
      <c r="F92" s="39"/>
      <c r="G92" s="40"/>
      <c r="H92" s="39"/>
    </row>
    <row r="93" spans="1:15">
      <c r="A93" t="s">
        <v>334</v>
      </c>
      <c r="B93">
        <v>10</v>
      </c>
      <c r="C93">
        <f t="shared" si="6"/>
        <v>10</v>
      </c>
      <c r="E93" s="13" t="s">
        <v>189</v>
      </c>
      <c r="F93" s="39"/>
      <c r="G93" s="40"/>
      <c r="H93" s="39"/>
    </row>
    <row r="94" spans="1:15">
      <c r="A94" t="s">
        <v>335</v>
      </c>
      <c r="B94">
        <v>402</v>
      </c>
      <c r="C94">
        <f t="shared" si="6"/>
        <v>402</v>
      </c>
      <c r="E94" s="13" t="s">
        <v>207</v>
      </c>
      <c r="F94" s="39"/>
      <c r="G94" s="40"/>
      <c r="H94" s="39"/>
    </row>
    <row r="95" spans="1:15">
      <c r="A95" t="s">
        <v>336</v>
      </c>
      <c r="B95" t="s">
        <v>337</v>
      </c>
      <c r="C95">
        <f t="shared" si="6"/>
        <v>1500</v>
      </c>
      <c r="E95" s="13" t="s">
        <v>207</v>
      </c>
      <c r="F95" s="39"/>
      <c r="G95" s="40"/>
      <c r="H95" s="39"/>
    </row>
    <row r="96" spans="1:15">
      <c r="A96" t="s">
        <v>338</v>
      </c>
      <c r="B96">
        <v>267</v>
      </c>
      <c r="C96">
        <f t="shared" si="6"/>
        <v>267</v>
      </c>
      <c r="E96" s="13" t="s">
        <v>198</v>
      </c>
      <c r="F96" s="39"/>
      <c r="G96" s="40"/>
      <c r="H96" s="39"/>
    </row>
    <row r="97" spans="1:8">
      <c r="A97" t="s">
        <v>339</v>
      </c>
      <c r="B97">
        <v>51</v>
      </c>
      <c r="C97">
        <f t="shared" si="6"/>
        <v>51</v>
      </c>
      <c r="E97" s="13" t="s">
        <v>189</v>
      </c>
      <c r="F97" s="39"/>
      <c r="G97" s="40"/>
      <c r="H97" s="39"/>
    </row>
    <row r="98" spans="1:8">
      <c r="A98" t="s">
        <v>340</v>
      </c>
      <c r="B98" t="s">
        <v>341</v>
      </c>
      <c r="C98">
        <f t="shared" si="6"/>
        <v>10000</v>
      </c>
      <c r="E98" s="13" t="s">
        <v>207</v>
      </c>
      <c r="F98" s="39"/>
      <c r="G98" s="40"/>
      <c r="H98" s="39"/>
    </row>
    <row r="99" spans="1:8">
      <c r="A99" t="s">
        <v>342</v>
      </c>
      <c r="B99">
        <v>15</v>
      </c>
      <c r="C99">
        <f t="shared" si="6"/>
        <v>15</v>
      </c>
      <c r="E99" s="13" t="s">
        <v>207</v>
      </c>
      <c r="F99" s="39"/>
      <c r="G99" s="40"/>
      <c r="H99" s="39"/>
    </row>
    <row r="100" spans="1:8">
      <c r="A100" t="s">
        <v>343</v>
      </c>
      <c r="B100">
        <v>56</v>
      </c>
      <c r="C100">
        <f t="shared" si="6"/>
        <v>56</v>
      </c>
      <c r="F100" s="39"/>
      <c r="G100" s="40"/>
      <c r="H100" s="39"/>
    </row>
    <row r="101" spans="1:8">
      <c r="A101" t="s">
        <v>344</v>
      </c>
      <c r="B101">
        <v>220</v>
      </c>
      <c r="C101">
        <f t="shared" si="6"/>
        <v>220</v>
      </c>
      <c r="E101" s="13" t="s">
        <v>198</v>
      </c>
      <c r="F101" s="39"/>
      <c r="G101" s="40"/>
      <c r="H101" s="39"/>
    </row>
    <row r="102" spans="1:8">
      <c r="A102" t="s">
        <v>345</v>
      </c>
      <c r="B102" t="s">
        <v>346</v>
      </c>
      <c r="C102">
        <f t="shared" si="6"/>
        <v>1300</v>
      </c>
      <c r="E102" s="13" t="s">
        <v>198</v>
      </c>
      <c r="F102" s="39"/>
      <c r="G102" s="40"/>
      <c r="H102" s="39"/>
    </row>
    <row r="103" spans="1:8">
      <c r="A103" t="s">
        <v>347</v>
      </c>
      <c r="B103">
        <v>100</v>
      </c>
      <c r="C103">
        <f t="shared" si="6"/>
        <v>100</v>
      </c>
      <c r="E103" s="13" t="s">
        <v>189</v>
      </c>
      <c r="F103" s="39"/>
      <c r="G103" s="40"/>
      <c r="H103" s="39"/>
    </row>
    <row r="104" spans="1:8">
      <c r="A104" t="s">
        <v>383</v>
      </c>
      <c r="B104" t="s">
        <v>275</v>
      </c>
      <c r="C104">
        <f t="shared" si="6"/>
        <v>20000</v>
      </c>
      <c r="E104" s="13" t="s">
        <v>207</v>
      </c>
      <c r="F104" s="39"/>
      <c r="G104" s="40"/>
      <c r="H104" s="39"/>
    </row>
    <row r="105" spans="1:8">
      <c r="A105" t="s">
        <v>384</v>
      </c>
      <c r="B105" t="s">
        <v>385</v>
      </c>
      <c r="C105">
        <f t="shared" si="6"/>
        <v>8450</v>
      </c>
      <c r="E105" s="13" t="s">
        <v>207</v>
      </c>
      <c r="F105" s="39"/>
      <c r="G105" s="40"/>
      <c r="H105" s="39"/>
    </row>
    <row r="106" spans="1:8">
      <c r="A106" t="s">
        <v>386</v>
      </c>
      <c r="B106" t="s">
        <v>385</v>
      </c>
      <c r="C106">
        <f t="shared" si="6"/>
        <v>8450</v>
      </c>
      <c r="E106" s="13" t="s">
        <v>189</v>
      </c>
      <c r="F106" s="39"/>
      <c r="G106" s="40"/>
      <c r="H106" s="39"/>
    </row>
    <row r="107" spans="1:8">
      <c r="A107" t="s">
        <v>387</v>
      </c>
      <c r="B107">
        <v>56.2</v>
      </c>
      <c r="C107">
        <f t="shared" si="6"/>
        <v>56.2</v>
      </c>
      <c r="E107" s="13" t="s">
        <v>207</v>
      </c>
      <c r="F107" s="39"/>
      <c r="G107" s="40"/>
      <c r="H107" s="39"/>
    </row>
    <row r="108" spans="1:8">
      <c r="A108" t="s">
        <v>404</v>
      </c>
      <c r="B108" t="s">
        <v>405</v>
      </c>
      <c r="C108">
        <f t="shared" si="6"/>
        <v>95300</v>
      </c>
      <c r="E108" s="13" t="s">
        <v>189</v>
      </c>
      <c r="F108" s="39"/>
      <c r="G108" s="40"/>
      <c r="H108" s="39"/>
    </row>
    <row r="109" spans="1:8">
      <c r="A109" t="s">
        <v>413</v>
      </c>
      <c r="C109">
        <f t="shared" si="6"/>
        <v>0</v>
      </c>
      <c r="F109" s="39"/>
      <c r="G109" s="40"/>
      <c r="H109" s="39"/>
    </row>
    <row r="110" spans="1:8">
      <c r="A110" t="s">
        <v>414</v>
      </c>
      <c r="B110">
        <v>100</v>
      </c>
      <c r="C110">
        <f t="shared" si="6"/>
        <v>100</v>
      </c>
      <c r="E110" s="13" t="s">
        <v>188</v>
      </c>
      <c r="F110" s="39"/>
      <c r="G110" s="40"/>
      <c r="H110" s="39"/>
    </row>
    <row r="111" spans="1:8">
      <c r="A111" t="s">
        <v>415</v>
      </c>
      <c r="B111">
        <v>88</v>
      </c>
      <c r="C111">
        <f t="shared" si="6"/>
        <v>88</v>
      </c>
      <c r="E111" s="13" t="s">
        <v>188</v>
      </c>
      <c r="F111" s="39"/>
      <c r="G111" s="40"/>
      <c r="H111" s="39"/>
    </row>
    <row r="112" spans="1:8">
      <c r="A112" t="s">
        <v>416</v>
      </c>
      <c r="B112">
        <v>50</v>
      </c>
      <c r="C112">
        <f t="shared" si="6"/>
        <v>50</v>
      </c>
      <c r="E112" s="13" t="s">
        <v>189</v>
      </c>
      <c r="F112" s="39"/>
      <c r="G112" s="40"/>
      <c r="H112" s="39"/>
    </row>
    <row r="113" spans="1:8">
      <c r="A113" t="s">
        <v>420</v>
      </c>
      <c r="B113">
        <v>500</v>
      </c>
      <c r="C113">
        <f t="shared" si="6"/>
        <v>500</v>
      </c>
      <c r="E113" s="13" t="s">
        <v>188</v>
      </c>
      <c r="F113" s="39"/>
      <c r="G113" s="40"/>
      <c r="H113" s="39"/>
    </row>
    <row r="114" spans="1:8">
      <c r="A114" t="s">
        <v>421</v>
      </c>
      <c r="B114">
        <v>200</v>
      </c>
      <c r="C114">
        <f t="shared" si="6"/>
        <v>200</v>
      </c>
      <c r="E114" s="13" t="s">
        <v>188</v>
      </c>
      <c r="F114" s="39"/>
      <c r="G114" s="40"/>
      <c r="H114" s="39"/>
    </row>
    <row r="115" spans="1:8">
      <c r="A115" t="s">
        <v>425</v>
      </c>
      <c r="B115">
        <v>150</v>
      </c>
      <c r="C115">
        <f t="shared" si="6"/>
        <v>150</v>
      </c>
      <c r="E115" s="13" t="s">
        <v>188</v>
      </c>
      <c r="F115" s="39"/>
      <c r="G115" s="40"/>
      <c r="H115" s="39"/>
    </row>
    <row r="116" spans="1:8">
      <c r="A116" s="19" t="s">
        <v>428</v>
      </c>
      <c r="B116" s="19">
        <v>0</v>
      </c>
      <c r="C116" s="19">
        <f t="shared" si="6"/>
        <v>0</v>
      </c>
      <c r="D116" s="19"/>
      <c r="E116" s="20" t="s">
        <v>189</v>
      </c>
      <c r="F116" s="39"/>
      <c r="G116" s="40"/>
      <c r="H116" s="39"/>
    </row>
    <row r="117" spans="1:8">
      <c r="A117" s="19" t="s">
        <v>429</v>
      </c>
      <c r="B117" s="19">
        <v>91</v>
      </c>
      <c r="C117" s="19">
        <f t="shared" si="6"/>
        <v>91</v>
      </c>
      <c r="D117" s="19"/>
      <c r="E117" s="20" t="s">
        <v>189</v>
      </c>
      <c r="F117" s="39"/>
      <c r="G117" s="40"/>
      <c r="H117" s="39"/>
    </row>
    <row r="118" spans="1:8">
      <c r="A118" s="19" t="s">
        <v>430</v>
      </c>
      <c r="B118" s="19">
        <v>165</v>
      </c>
      <c r="C118" s="19">
        <f t="shared" si="6"/>
        <v>165</v>
      </c>
      <c r="D118" s="19"/>
      <c r="E118" s="21">
        <v>1206</v>
      </c>
      <c r="F118" s="39"/>
      <c r="G118" s="40"/>
      <c r="H118" s="39"/>
    </row>
    <row r="119" spans="1:8">
      <c r="A119" s="19" t="s">
        <v>431</v>
      </c>
      <c r="B119" s="19">
        <v>0</v>
      </c>
      <c r="C119" s="19">
        <f t="shared" si="6"/>
        <v>0</v>
      </c>
      <c r="D119" s="19"/>
      <c r="E119" s="21"/>
      <c r="F119" s="39"/>
      <c r="G119" s="40"/>
      <c r="H119" s="39"/>
    </row>
    <row r="120" spans="1:8">
      <c r="A120" s="19" t="s">
        <v>432</v>
      </c>
      <c r="B120" s="19" t="s">
        <v>433</v>
      </c>
      <c r="C120" s="19">
        <f t="shared" si="6"/>
        <v>1620</v>
      </c>
      <c r="D120" s="19"/>
      <c r="E120" s="20" t="s">
        <v>189</v>
      </c>
      <c r="F120" s="39"/>
      <c r="G120" s="40"/>
      <c r="H120" s="39"/>
    </row>
    <row r="121" spans="1:8">
      <c r="A121" s="19" t="s">
        <v>434</v>
      </c>
      <c r="B121" s="19" t="s">
        <v>435</v>
      </c>
      <c r="C121" s="19" t="e">
        <f t="shared" si="6"/>
        <v>#VALUE!</v>
      </c>
      <c r="D121" s="19"/>
      <c r="E121" s="20" t="s">
        <v>189</v>
      </c>
      <c r="F121" s="39"/>
      <c r="G121" s="40"/>
      <c r="H121" s="39"/>
    </row>
    <row r="122" spans="1:8">
      <c r="A122" s="19" t="s">
        <v>436</v>
      </c>
      <c r="B122" s="19">
        <v>287</v>
      </c>
      <c r="C122" s="19">
        <f t="shared" si="6"/>
        <v>287</v>
      </c>
      <c r="D122" s="19"/>
      <c r="E122" s="20" t="s">
        <v>188</v>
      </c>
      <c r="F122" s="39"/>
      <c r="G122" s="40"/>
      <c r="H122" s="39"/>
    </row>
    <row r="123" spans="1:8">
      <c r="A123" s="19" t="s">
        <v>437</v>
      </c>
      <c r="B123" s="19">
        <v>43.2</v>
      </c>
      <c r="C123" s="19">
        <f t="shared" si="6"/>
        <v>43.2</v>
      </c>
      <c r="D123" s="19"/>
      <c r="E123" s="20" t="s">
        <v>207</v>
      </c>
      <c r="F123" s="39"/>
      <c r="G123" s="40"/>
      <c r="H123" s="39"/>
    </row>
    <row r="124" spans="1:8">
      <c r="A124" s="19" t="s">
        <v>438</v>
      </c>
      <c r="B124" s="19">
        <v>3.9</v>
      </c>
      <c r="C124" s="19">
        <f t="shared" si="6"/>
        <v>3.9</v>
      </c>
      <c r="D124" s="19"/>
      <c r="E124" s="20" t="s">
        <v>207</v>
      </c>
      <c r="F124" s="39"/>
      <c r="G124" s="40"/>
      <c r="H124" s="39"/>
    </row>
    <row r="125" spans="1:8">
      <c r="A125" s="19" t="s">
        <v>439</v>
      </c>
      <c r="B125" s="19" t="s">
        <v>440</v>
      </c>
      <c r="C125" s="19">
        <f t="shared" si="6"/>
        <v>41200</v>
      </c>
      <c r="D125" s="19"/>
      <c r="E125" s="20" t="s">
        <v>189</v>
      </c>
      <c r="F125" s="39"/>
      <c r="G125" s="40"/>
      <c r="H125" s="39"/>
    </row>
    <row r="126" spans="1:8">
      <c r="A126" s="19" t="s">
        <v>441</v>
      </c>
      <c r="B126" s="19">
        <v>243</v>
      </c>
      <c r="C126" s="19">
        <f t="shared" si="6"/>
        <v>243</v>
      </c>
      <c r="D126" s="19"/>
      <c r="E126" s="21">
        <v>1206</v>
      </c>
      <c r="F126" s="39"/>
      <c r="G126" s="40"/>
      <c r="H126" s="39"/>
    </row>
    <row r="127" spans="1:8">
      <c r="A127" s="19" t="s">
        <v>442</v>
      </c>
      <c r="B127" s="19">
        <v>47</v>
      </c>
      <c r="C127" s="19">
        <f t="shared" si="6"/>
        <v>47</v>
      </c>
      <c r="D127" s="19"/>
      <c r="E127" s="21">
        <v>1206</v>
      </c>
      <c r="F127" s="39"/>
      <c r="G127" s="40"/>
      <c r="H127" s="39"/>
    </row>
    <row r="128" spans="1:8">
      <c r="A128" s="19" t="s">
        <v>443</v>
      </c>
      <c r="B128" s="19" t="s">
        <v>444</v>
      </c>
      <c r="C128" s="19">
        <f t="shared" si="6"/>
        <v>62000</v>
      </c>
      <c r="D128" s="19"/>
      <c r="E128" s="20" t="s">
        <v>189</v>
      </c>
      <c r="F128" s="39"/>
      <c r="G128" s="40"/>
      <c r="H128" s="39"/>
    </row>
    <row r="129" spans="1:8">
      <c r="A129" s="19" t="s">
        <v>445</v>
      </c>
      <c r="B129" s="19">
        <v>470</v>
      </c>
      <c r="C129" s="19">
        <f t="shared" si="6"/>
        <v>470</v>
      </c>
      <c r="D129" s="19"/>
      <c r="E129" s="21">
        <v>1206</v>
      </c>
      <c r="F129" s="39"/>
      <c r="G129" s="40"/>
      <c r="H129" s="39"/>
    </row>
    <row r="130" spans="1:8">
      <c r="A130" s="19" t="s">
        <v>446</v>
      </c>
      <c r="B130" s="19" t="s">
        <v>447</v>
      </c>
      <c r="C130" s="19">
        <f t="shared" si="6"/>
        <v>2870</v>
      </c>
      <c r="D130" s="19"/>
      <c r="E130" s="20" t="s">
        <v>188</v>
      </c>
      <c r="F130" s="39"/>
      <c r="G130" s="40"/>
      <c r="H130" s="39"/>
    </row>
    <row r="131" spans="1:8">
      <c r="A131" s="19" t="s">
        <v>448</v>
      </c>
      <c r="B131" s="19" t="s">
        <v>449</v>
      </c>
      <c r="C131" s="19">
        <f>IF(RIGHT(B131,1)="K",VALUE(LEFT(B131,LEN(B131)-1))*1000,VALUE(B131))</f>
        <v>4990</v>
      </c>
      <c r="D131" s="19"/>
      <c r="E131" s="20" t="s">
        <v>188</v>
      </c>
      <c r="F131" s="39"/>
      <c r="G131" s="40"/>
      <c r="H131" s="39"/>
    </row>
    <row r="132" spans="1:8">
      <c r="A132" s="19" t="s">
        <v>450</v>
      </c>
      <c r="B132" s="19" t="s">
        <v>227</v>
      </c>
      <c r="C132" s="19">
        <f>IF(RIGHT(B132,1)="K",VALUE(LEFT(B132,LEN(B132)-1))*1000,VALUE(B132))</f>
        <v>1000</v>
      </c>
      <c r="D132" s="19"/>
      <c r="E132" s="21">
        <v>1206</v>
      </c>
      <c r="F132" s="39"/>
      <c r="G132" s="40"/>
      <c r="H132" s="39"/>
    </row>
    <row r="133" spans="1:8">
      <c r="A133" s="19" t="s">
        <v>451</v>
      </c>
      <c r="B133" s="19">
        <v>10</v>
      </c>
      <c r="C133" s="19">
        <f t="shared" ref="C133:C138" si="7">IF(RIGHT(B133,1)="K",VALUE(LEFT(B133,LEN(B133)-1))*1000,VALUE(B133))</f>
        <v>10</v>
      </c>
      <c r="D133" s="19"/>
      <c r="E133" s="20" t="s">
        <v>189</v>
      </c>
      <c r="F133" s="39"/>
      <c r="G133" s="40"/>
      <c r="H133" s="39"/>
    </row>
    <row r="134" spans="1:8">
      <c r="A134" s="19" t="s">
        <v>452</v>
      </c>
      <c r="B134" s="19">
        <v>60.4</v>
      </c>
      <c r="C134" s="19">
        <f t="shared" si="7"/>
        <v>60.4</v>
      </c>
      <c r="D134" s="19"/>
      <c r="E134" s="21">
        <v>1206</v>
      </c>
      <c r="F134" s="39"/>
      <c r="G134" s="40"/>
      <c r="H134" s="39"/>
    </row>
    <row r="135" spans="1:8">
      <c r="A135" s="19" t="s">
        <v>453</v>
      </c>
      <c r="B135" s="19" t="s">
        <v>454</v>
      </c>
      <c r="C135" s="19">
        <f t="shared" si="7"/>
        <v>2000</v>
      </c>
      <c r="D135" s="19"/>
      <c r="E135" s="20" t="s">
        <v>189</v>
      </c>
    </row>
    <row r="136" spans="1:8">
      <c r="A136" s="19" t="s">
        <v>455</v>
      </c>
      <c r="B136" s="19" t="s">
        <v>227</v>
      </c>
      <c r="C136" s="19">
        <f t="shared" si="7"/>
        <v>1000</v>
      </c>
      <c r="D136" s="19"/>
      <c r="E136" s="20" t="s">
        <v>188</v>
      </c>
    </row>
    <row r="137" spans="1:8">
      <c r="A137" s="19" t="s">
        <v>456</v>
      </c>
      <c r="B137" s="19">
        <v>100</v>
      </c>
      <c r="C137" s="19">
        <f t="shared" si="7"/>
        <v>100</v>
      </c>
      <c r="D137" s="19"/>
      <c r="E137" s="21">
        <v>1206</v>
      </c>
    </row>
    <row r="138" spans="1:8">
      <c r="A138" s="19" t="s">
        <v>457</v>
      </c>
      <c r="B138" s="19" t="s">
        <v>215</v>
      </c>
      <c r="C138" s="19">
        <f t="shared" si="7"/>
        <v>200000</v>
      </c>
      <c r="D138" s="19"/>
      <c r="E138" s="20" t="s">
        <v>189</v>
      </c>
    </row>
    <row r="143" spans="1:8">
      <c r="A143" s="19" t="s">
        <v>551</v>
      </c>
      <c r="B143" t="s">
        <v>552</v>
      </c>
      <c r="E143" s="13" t="s">
        <v>207</v>
      </c>
    </row>
  </sheetData>
  <sortState ref="G5:J86">
    <sortCondition ref="H5:H86"/>
  </sortState>
  <mergeCells count="6">
    <mergeCell ref="AJ1:AN1"/>
    <mergeCell ref="AE1:AH1"/>
    <mergeCell ref="A1:E1"/>
    <mergeCell ref="F1:J1"/>
    <mergeCell ref="K1:N1"/>
    <mergeCell ref="P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_0201</vt:lpstr>
      <vt:lpstr>Sheet1!daass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Xinhang Xu</cp:lastModifiedBy>
  <dcterms:created xsi:type="dcterms:W3CDTF">2025-11-14T18:05:50Z</dcterms:created>
  <dcterms:modified xsi:type="dcterms:W3CDTF">2025-12-17T00:02:45Z</dcterms:modified>
</cp:coreProperties>
</file>