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F87227B6-F26C-4590-9BBD-007C1B1B5BBF}" xr6:coauthVersionLast="36" xr6:coauthVersionMax="47" xr10:uidLastSave="{00000000-0000-0000-0000-000000000000}"/>
  <bookViews>
    <workbookView xWindow="-120" yWindow="-120" windowWidth="25440" windowHeight="15396" activeTab="1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04" i="2" l="1"/>
  <c r="C103" i="2"/>
  <c r="C102" i="2"/>
  <c r="C25" i="2"/>
  <c r="C101" i="2" l="1"/>
  <c r="C212" i="1"/>
  <c r="C211" i="1"/>
  <c r="C22" i="2" l="1"/>
  <c r="C23" i="2"/>
  <c r="C84" i="2"/>
  <c r="C47" i="2"/>
  <c r="C20" i="2"/>
  <c r="C21" i="2"/>
  <c r="C48" i="2"/>
  <c r="C83" i="2"/>
  <c r="C82" i="2"/>
  <c r="C49" i="2"/>
  <c r="C50" i="2"/>
  <c r="C57" i="2"/>
  <c r="C36" i="2"/>
  <c r="C51" i="2"/>
  <c r="C79" i="2"/>
  <c r="C58" i="2"/>
  <c r="C35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60" i="2"/>
  <c r="C55" i="2"/>
  <c r="C3" i="2"/>
  <c r="C74" i="2"/>
  <c r="C73" i="2"/>
  <c r="C61" i="2"/>
  <c r="C75" i="2"/>
  <c r="C13" i="2"/>
  <c r="C71" i="2"/>
  <c r="C70" i="2"/>
  <c r="C121" i="1"/>
  <c r="C177" i="1"/>
  <c r="C176" i="1"/>
  <c r="C97" i="1"/>
  <c r="C42" i="1"/>
  <c r="C110" i="1"/>
  <c r="C112" i="1"/>
  <c r="C105" i="1"/>
  <c r="C95" i="1"/>
  <c r="C133" i="1"/>
  <c r="C94" i="1"/>
  <c r="C5" i="2" l="1"/>
  <c r="C86" i="2"/>
  <c r="C41" i="2"/>
  <c r="C40" i="2"/>
  <c r="C39" i="2"/>
  <c r="C9" i="2"/>
  <c r="C68" i="2"/>
  <c r="C28" i="2"/>
  <c r="C38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18" i="2"/>
  <c r="C32" i="2"/>
  <c r="C24" i="2"/>
  <c r="C92" i="2"/>
  <c r="C91" i="2"/>
  <c r="C19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54" i="2"/>
  <c r="C29" i="2"/>
  <c r="C98" i="2"/>
  <c r="C82" i="1"/>
  <c r="C37" i="2"/>
  <c r="C117" i="1"/>
  <c r="C179" i="1"/>
  <c r="C170" i="1"/>
  <c r="C41" i="1"/>
  <c r="C174" i="1"/>
  <c r="C12" i="1"/>
  <c r="C67" i="2"/>
  <c r="C96" i="2"/>
  <c r="C97" i="2"/>
  <c r="C43" i="2"/>
  <c r="C4" i="2"/>
  <c r="C69" i="2"/>
  <c r="C62" i="2" l="1"/>
  <c r="C46" i="2"/>
  <c r="C45" i="2"/>
  <c r="C99" i="2"/>
  <c r="C93" i="2"/>
  <c r="C90" i="2"/>
  <c r="C78" i="2"/>
  <c r="C56" i="2"/>
  <c r="C44" i="2"/>
  <c r="C81" i="2"/>
  <c r="C80" i="2"/>
  <c r="C42" i="2"/>
  <c r="C64" i="2"/>
  <c r="C59" i="2"/>
  <c r="C94" i="2"/>
  <c r="C87" i="2"/>
  <c r="C33" i="2"/>
  <c r="C88" i="2"/>
  <c r="C2" i="2"/>
  <c r="C89" i="2"/>
  <c r="C85" i="2"/>
  <c r="C34" i="2"/>
  <c r="C53" i="2"/>
  <c r="C77" i="2"/>
  <c r="C72" i="2"/>
  <c r="C63" i="2"/>
  <c r="C27" i="2"/>
  <c r="C52" i="2"/>
  <c r="C7" i="2"/>
  <c r="C30" i="2"/>
  <c r="C6" i="2"/>
  <c r="C76" i="2"/>
  <c r="C8" i="2"/>
  <c r="C17" i="2"/>
  <c r="C31" i="2"/>
  <c r="C16" i="2"/>
  <c r="C15" i="2"/>
  <c r="C14" i="2"/>
  <c r="C26" i="2"/>
  <c r="C65" i="2"/>
  <c r="C100" i="2"/>
  <c r="C66" i="2"/>
  <c r="C12" i="2"/>
  <c r="C11" i="2"/>
  <c r="C10" i="2"/>
  <c r="C95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<sst xmlns="http://schemas.openxmlformats.org/spreadsheetml/2006/main" count="1604" uniqueCount="1009">
  <si>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</si>
  <si>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</si>
  <si>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</si>
  <si>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</si>
  <si>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</si>
  <si>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</si>
  <si>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</si>
  <si>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</si>
  <si>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</si>
  <si>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</si>
  <si>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</si>
  <si>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</si>
  <si>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</si>
  <si>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</si>
  <si>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</si>
  <si>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</si>
  <si>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</si>
  <si>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</si>
  <si>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</si>
  <si>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</si>
  <si>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</si>
  <si>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</si>
  <si>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</si>
  <si>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</si>
  <si>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</si>
  <si>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</si>
  <si>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</si>
  <si>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</si>
  <si>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</si>
  <si>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</si>
  <si>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</si>
  <si>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</si>
  <si>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</si>
  <si>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</si>
  <si>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</si>
  <si>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</si>
  <si>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</si>
  <si>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</si>
  <si>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</si>
  <si>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</si>
  <si>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</si>
  <si>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</si>
  <si>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</si>
  <si>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</si>
  <si>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</si>
  <si>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</si>
  <si>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</si>
  <si>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</si>
  <si>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</si>
  <si>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</si>
  <si>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</si>
  <si>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</si>
  <si>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</si>
  <si>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</si>
  <si>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</si>
  <si>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</si>
  <si>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</si>
  <si>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</si>
  <si>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</si>
  <si>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</si>
  <si>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</si>
  <si>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</si>
  <si>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</si>
  <si>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</si>
  <si>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</si>
  <si>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</si>
  <si>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</si>
  <si>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</si>
  <si>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</si>
  <si>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</si>
  <si>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</si>
  <si>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</si>
  <si>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</si>
  <si>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</si>
  <si>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</si>
  <si>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</si>
  <si>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</si>
  <si>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</si>
  <si>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</si>
  <si>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</si>
  <si>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</si>
  <si>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</si>
  <si>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</si>
  <si>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</si>
  <si>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</si>
  <si>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</si>
  <si>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</si>
  <si>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</si>
  <si>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</si>
  <si>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</si>
  <si>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</si>
  <si>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</si>
  <si>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</si>
  <si>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</si>
  <si>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</si>
  <si>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</si>
  <si>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</si>
  <si>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</si>
  <si>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</si>
  <si>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</si>
  <si>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</si>
  <si>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</si>
  <si>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</si>
  <si>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</si>
  <si>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</si>
  <si>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</si>
  <si>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</si>
  <si>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</si>
  <si>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</si>
  <si>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</si>
  <si>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</si>
  <si>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</si>
  <si>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</si>
  <si>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</si>
  <si>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</si>
  <si>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</si>
  <si>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</si>
  <si>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</si>
  <si>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</si>
  <si>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</si>
  <si>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</si>
  <si>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</si>
  <si>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</si>
  <si>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</si>
  <si>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</si>
  <si>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</si>
  <si>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</si>
  <si>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</si>
  <si>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</si>
  <si>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</si>
  <si>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</si>
  <si>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</si>
  <si>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</si>
  <si>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</si>
  <si>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</si>
  <si>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</si>
  <si>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</si>
  <si>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</si>
  <si>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</si>
  <si>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</si>
  <si>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</si>
  <si>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</si>
  <si>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</si>
  <si>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</si>
  <si>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</si>
  <si>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</si>
  <si>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</si>
  <si>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</si>
  <si>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</si>
  <si>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</si>
  <si>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</si>
  <si>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</si>
  <si>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</si>
  <si>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</si>
  <si>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</si>
  <si>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</si>
  <si>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</si>
  <si>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</si>
  <si>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</si>
  <si>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</si>
  <si>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</si>
  <si>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</si>
  <si>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</si>
  <si>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</si>
  <si>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</si>
  <si>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</si>
  <si>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</si>
  <si>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</si>
  <si>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</si>
  <si>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</si>
  <si>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</si>
  <si>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</si>
  <si>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</si>
  <si>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</si>
  <si>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</si>
  <si>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</si>
  <si>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</si>
  <si>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</si>
  <si>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</si>
  <si>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</si>
  <si>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</si>
  <si>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</si>
  <si>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</si>
  <si>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</si>
  <si>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</si>
  <si>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</si>
  <si>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</si>
  <si>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</si>
  <si>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</si>
  <si>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</si>
  <si>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</si>
  <si>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</si>
  <si>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</si>
  <si>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</si>
  <si>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</si>
  <si>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</si>
  <si>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</si>
  <si>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</si>
  <si>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</si>
  <si>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</si>
  <si>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</si>
  <si>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</si>
  <si>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</si>
  <si>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</si>
  <si>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</si>
  <si>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</si>
  <si>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</si>
  <si>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</si>
  <si>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</si>
  <si>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</si>
  <si>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</si>
  <si>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</si>
  <si>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</si>
  <si>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</si>
  <si>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</si>
  <si>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</si>
  <si>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</si>
  <si>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</si>
  <si>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</si>
  <si>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</si>
  <si>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</si>
  <si>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</si>
  <si>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</si>
  <si>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</si>
  <si>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</si>
  <si>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</si>
  <si>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</si>
  <si>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</si>
  <si>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</si>
  <si>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</si>
  <si>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</si>
  <si>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</si>
  <si>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</si>
  <si>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</si>
  <si>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</si>
  <si>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</si>
  <si>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</si>
  <si>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</si>
  <si>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</si>
  <si>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</si>
  <si>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</si>
  <si>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</si>
  <si>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</si>
  <si>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</si>
  <si>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</si>
  <si>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</si>
  <si>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</si>
  <si>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</si>
  <si>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</si>
  <si>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</si>
  <si>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</si>
  <si>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</si>
  <si>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</si>
  <si>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</si>
  <si>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</si>
  <si>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</si>
  <si>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</si>
  <si>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</si>
  <si>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</si>
  <si>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</si>
  <si>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</si>
  <si>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</si>
  <si>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</si>
  <si>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</si>
  <si>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</si>
  <si>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</si>
  <si>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</si>
  <si>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</si>
  <si>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</si>
  <si>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</si>
  <si>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</si>
  <si>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</si>
  <si>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</si>
  <si>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</si>
  <si>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</si>
  <si>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</si>
  <si>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</si>
  <si>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</si>
  <si>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</si>
  <si>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</si>
  <si>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</si>
  <si>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</si>
  <si>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</si>
  <si>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</si>
  <si>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</si>
  <si>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</si>
  <si>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</si>
  <si>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</si>
  <si>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</si>
  <si>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</si>
  <si>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</si>
  <si>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</si>
  <si>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</si>
  <si>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</si>
  <si>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</si>
  <si>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</si>
  <si>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</si>
  <si>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</si>
  <si>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</si>
  <si>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</si>
  <si>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</si>
  <si>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</si>
  <si>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</si>
  <si>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</si>
  <si>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</si>
  <si>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</si>
  <si>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</si>
  <si>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</si>
  <si>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</si>
  <si>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</si>
  <si>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</si>
  <si>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</si>
  <si>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</si>
  <si>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</si>
  <si>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</si>
  <si>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</si>
  <si>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</si>
  <si>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</si>
  <si>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</si>
  <si>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</si>
  <si>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</si>
  <si>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</si>
  <si>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</si>
  <si>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</si>
  <si>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</si>
  <si>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</si>
  <si>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</si>
  <si>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</si>
  <si>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</si>
  <si>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</si>
  <si>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</si>
  <si>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</si>
  <si>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</si>
  <si>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</si>
  <si>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</si>
  <si>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</si>
  <si>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</si>
  <si>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</si>
  <si>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</si>
  <si>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</si>
  <si>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</si>
  <si>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</si>
  <si>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</si>
  <si>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</si>
  <si>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</si>
  <si>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</si>
  <si>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</si>
  <si>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</si>
  <si>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</si>
  <si>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</si>
  <si>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</si>
  <si>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</si>
  <si>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</si>
  <si>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</si>
  <si>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</si>
  <si>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</si>
  <si>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</si>
  <si>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</si>
  <si>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</si>
  <si>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</si>
  <si>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</si>
  <si>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</si>
  <si>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</si>
  <si>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</si>
  <si>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</si>
  <si>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</si>
  <si>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</si>
  <si>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</si>
  <si>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</si>
  <si>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</si>
  <si>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</si>
  <si>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</si>
  <si>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</si>
  <si>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</si>
  <si>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</si>
  <si>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</si>
  <si>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</si>
  <si>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</si>
  <si>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</si>
  <si>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</si>
  <si>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</si>
  <si>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</si>
  <si>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</si>
  <si>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</si>
  <si>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</si>
  <si>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</si>
  <si>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</si>
  <si>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</si>
  <si>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</si>
  <si>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</si>
  <si>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</si>
  <si>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</si>
  <si>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</si>
  <si>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</si>
  <si>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</si>
  <si>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</si>
  <si>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</si>
  <si>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</si>
  <si>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</si>
  <si>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</si>
  <si>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</si>
  <si>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</si>
  <si>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</si>
  <si>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</si>
  <si>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</si>
  <si>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</si>
  <si>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</si>
  <si>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</si>
  <si>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</si>
  <si>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</si>
  <si>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</si>
  <si>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</si>
  <si>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</si>
  <si>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</si>
  <si>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</si>
  <si>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</si>
  <si>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</si>
  <si>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</si>
  <si>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</si>
  <si>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</si>
  <si>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</si>
  <si>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</si>
  <si>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</si>
  <si>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</si>
  <si>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</si>
  <si>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</si>
  <si>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</si>
  <si>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</si>
  <si>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</si>
  <si>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</si>
  <si>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</si>
  <si>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</si>
  <si>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</si>
  <si>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</si>
  <si>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</si>
  <si>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</si>
  <si>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</si>
  <si>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</si>
  <si>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</si>
  <si>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</si>
  <si>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</si>
  <si>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</si>
  <si>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</si>
  <si>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</si>
  <si>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</si>
  <si>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</si>
  <si>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</si>
  <si>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</si>
  <si>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</si>
  <si>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</si>
  <si>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</si>
  <si>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</si>
  <si>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</si>
  <si>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</si>
  <si>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</si>
  <si>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</si>
  <si>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</si>
  <si>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</si>
  <si>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</si>
  <si>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</si>
  <si>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</si>
  <si>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</si>
  <si>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</si>
  <si>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</si>
  <si>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</si>
  <si>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</si>
  <si>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</si>
  <si>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</si>
  <si>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</si>
  <si>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</si>
  <si>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</si>
  <si>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</si>
  <si>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</si>
  <si>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</si>
  <si>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</si>
  <si>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</si>
  <si>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</si>
  <si>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</si>
  <si>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</si>
  <si>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</si>
  <si>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</si>
  <si>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</si>
  <si>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</si>
  <si>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</si>
  <si>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</si>
  <si>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</si>
  <si>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</si>
  <si>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</si>
  <si>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</si>
  <si>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</si>
  <si>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</si>
  <si>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</si>
  <si>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</si>
  <si>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</si>
  <si>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</si>
  <si>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</si>
  <si>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</si>
  <si>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</si>
  <si>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</si>
  <si>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</si>
  <si>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</si>
  <si>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</si>
  <si>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</si>
  <si>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</si>
  <si>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</si>
  <si>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</si>
  <si>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</si>
  <si>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</si>
  <si>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</si>
  <si>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</si>
  <si>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</si>
  <si>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</si>
  <si>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</si>
  <si>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</si>
  <si>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</si>
  <si>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</si>
  <si>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</si>
  <si>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</si>
  <si>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</si>
  <si>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</si>
  <si>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</si>
  <si>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</si>
  <si>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</si>
  <si>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</si>
  <si>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</si>
  <si>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</si>
  <si>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</si>
  <si>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</si>
  <si>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</si>
  <si>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</si>
  <si>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</si>
  <si>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</si>
  <si>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</si>
  <si>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</si>
  <si>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</si>
  <si>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</si>
  <si>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</si>
  <si>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</si>
  <si>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</si>
  <si>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</si>
  <si>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</si>
  <si>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</si>
  <si>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</si>
  <si>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</si>
  <si>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</si>
  <si>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</si>
  <si>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</si>
  <si>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</si>
  <si>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</si>
  <si>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</si>
  <si>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</si>
  <si>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</si>
  <si>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</si>
  <si>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</si>
  <si>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</si>
  <si>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</si>
  <si>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</si>
  <si>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</si>
  <si>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</si>
  <si>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</si>
  <si>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</si>
  <si>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</si>
  <si>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</si>
  <si>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</si>
  <si>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</si>
  <si>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</si>
  <si>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</si>
  <si>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</si>
  <si>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</si>
  <si>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</si>
  <si>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</si>
  <si>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</si>
  <si>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</si>
  <si>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</si>
  <si>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</si>
  <si>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</si>
  <si>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</si>
  <si>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</si>
  <si>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</si>
  <si>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</si>
  <si>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</si>
  <si>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</si>
  <si>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</si>
  <si>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</si>
  <si>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</si>
  <si>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</si>
  <si>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</si>
  <si>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</si>
  <si>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</si>
  <si>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</si>
  <si>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</si>
  <si>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</si>
  <si>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</si>
  <si>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</si>
  <si>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</si>
  <si>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</si>
  <si>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</si>
  <si>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</si>
  <si>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</si>
  <si>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</si>
  <si>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</si>
  <si>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</si>
  <si>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</si>
  <si>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</si>
  <si>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</si>
  <si>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</si>
  <si>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</si>
  <si>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</si>
  <si>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</si>
  <si>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</si>
  <si>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</si>
  <si>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</si>
  <si>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</si>
  <si>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</si>
  <si>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</si>
  <si>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</si>
  <si>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</si>
  <si>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</si>
  <si>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</si>
  <si>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</si>
  <si>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</si>
  <si>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</si>
  <si>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</si>
  <si>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</si>
  <si>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</si>
  <si>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</si>
  <si>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</si>
  <si>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</si>
  <si>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</si>
  <si>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</si>
  <si>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</si>
  <si>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</si>
  <si>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</si>
  <si>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</si>
  <si>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</si>
  <si>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</si>
  <si>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</si>
  <si>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</si>
  <si>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</si>
  <si>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</si>
  <si>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</si>
  <si>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</si>
  <si>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</si>
  <si>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</si>
  <si>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</si>
  <si>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</si>
  <si>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</si>
  <si>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</si>
  <si>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</si>
  <si>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</si>
  <si>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</si>
  <si>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</si>
  <si>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</si>
  <si>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</si>
  <si>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</si>
  <si>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</si>
  <si>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</si>
  <si>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</si>
  <si>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</si>
  <si>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</si>
  <si>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</si>
  <si>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</si>
  <si>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</si>
  <si>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</si>
  <si>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</si>
  <si>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</si>
  <si>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</si>
  <si>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</si>
  <si>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</si>
  <si>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</si>
  <si>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</si>
  <si>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</si>
  <si>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</si>
  <si>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</si>
  <si>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</si>
  <si>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</si>
  <si>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</si>
  <si>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</si>
  <si>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</si>
  <si>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</si>
  <si>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</si>
  <si>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</si>
  <si>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</si>
  <si>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</si>
  <si>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</si>
  <si>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</si>
  <si>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</si>
  <si>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</si>
  <si>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</si>
  <si>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</si>
  <si>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</si>
  <si>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0505</t>
  </si>
  <si>
    <t>0.1uf</t>
  </si>
  <si>
    <t>RC0603FR0749R9L</t>
    <phoneticPr fontId="1" type="noConversion"/>
  </si>
  <si>
    <t>RMCF0603FT49R9</t>
    <phoneticPr fontId="1" type="noConversion"/>
  </si>
  <si>
    <t>RMCF 1/16 1K 5% R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</si>
  <si>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</si>
  <si>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</si>
  <si>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</si>
  <si>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</si>
  <si>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</si>
  <si>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</si>
  <si>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</si>
  <si>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</si>
  <si>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</si>
  <si>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</si>
  <si>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</si>
  <si>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</si>
  <si>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</si>
  <si>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</si>
  <si>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</si>
  <si>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</si>
  <si>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</si>
  <si>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</si>
  <si>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</si>
  <si>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</si>
  <si>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</si>
  <si>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</si>
  <si>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</si>
  <si>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</si>
  <si>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</si>
  <si>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</si>
  <si>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</si>
  <si>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</si>
  <si>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</si>
  <si>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</si>
  <si>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</si>
  <si>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</si>
  <si>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</si>
  <si>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</si>
  <si>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</si>
  <si>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</si>
  <si>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</si>
  <si>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</si>
  <si>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</si>
  <si>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</si>
  <si>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</si>
  <si>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</si>
  <si>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</si>
  <si>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</si>
  <si>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</si>
  <si>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</si>
  <si>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</si>
  <si>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</si>
  <si>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</si>
  <si>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</si>
  <si>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</si>
  <si>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</si>
  <si>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</si>
  <si>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</si>
  <si>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</si>
  <si>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</si>
  <si>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</si>
  <si>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</si>
  <si>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</si>
  <si>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</si>
  <si>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</si>
  <si>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</si>
  <si>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</si>
  <si>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</si>
  <si>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</si>
  <si>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</si>
  <si>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</si>
  <si>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</si>
  <si>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</si>
  <si>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</si>
  <si>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</si>
  <si>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</si>
  <si>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</si>
  <si>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</si>
  <si>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</si>
  <si>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</si>
  <si>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</si>
  <si>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</si>
  <si>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</si>
  <si>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</si>
  <si>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</si>
  <si>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</si>
  <si>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</si>
  <si>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</si>
  <si>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</si>
  <si>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</si>
  <si>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</si>
  <si>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</si>
  <si>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</si>
  <si>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</si>
  <si>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</si>
  <si>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</si>
  <si>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</si>
  <si>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</si>
  <si>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</si>
  <si>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</si>
  <si>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</si>
  <si>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</si>
  <si>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</si>
  <si>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</si>
  <si>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</si>
  <si>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</si>
  <si>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</si>
  <si>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</si>
  <si>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</si>
  <si>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</si>
  <si>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</si>
  <si>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</si>
  <si>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</si>
  <si>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</si>
  <si>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</si>
  <si>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</si>
  <si>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</si>
  <si>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</si>
  <si>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</si>
  <si>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</si>
  <si>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</si>
  <si>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</si>
  <si>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</si>
  <si>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</si>
  <si>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</si>
  <si>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</si>
  <si>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</si>
  <si>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</si>
  <si>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</si>
  <si>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</si>
  <si>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</si>
  <si>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</si>
  <si>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</si>
  <si>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</si>
  <si>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</si>
  <si>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</si>
  <si>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</si>
  <si>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</si>
  <si>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</si>
  <si>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</si>
  <si>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</si>
  <si>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</si>
  <si>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</si>
  <si>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</si>
  <si>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</si>
  <si>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</si>
  <si>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</si>
  <si>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</si>
  <si>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</si>
  <si>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</si>
  <si>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</si>
  <si>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</si>
  <si>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</si>
  <si>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</si>
  <si>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</si>
  <si>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</si>
  <si>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</si>
  <si>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</si>
  <si>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</si>
  <si>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</si>
  <si>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</si>
  <si>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</si>
  <si>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</si>
  <si>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</si>
  <si>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</si>
  <si>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</si>
  <si>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</si>
  <si>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</si>
  <si>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</si>
  <si>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</si>
  <si>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</si>
  <si>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</si>
  <si>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</si>
  <si>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</si>
  <si>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</si>
  <si>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</si>
  <si>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</si>
  <si>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</si>
  <si>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</si>
  <si>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</si>
  <si>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</si>
  <si>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</si>
  <si>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</si>
  <si>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</si>
  <si>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</si>
  <si>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</si>
  <si>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</si>
  <si>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</si>
  <si>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</si>
  <si>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</si>
  <si>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</si>
  <si>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</si>
  <si>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</si>
  <si>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</si>
  <si>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</si>
  <si>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</si>
  <si>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</si>
  <si>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</si>
  <si>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</si>
  <si>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</si>
  <si>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</si>
  <si>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</si>
  <si>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</si>
  <si>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</si>
  <si>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</si>
  <si>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</si>
  <si>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</si>
  <si>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</si>
  <si>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</si>
  <si>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</si>
  <si>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</si>
  <si>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</si>
  <si>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</si>
  <si>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</si>
  <si>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</si>
  <si>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</si>
  <si>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</si>
  <si>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</si>
  <si>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</si>
  <si>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</si>
  <si>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</si>
  <si>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</si>
  <si>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</si>
  <si>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</si>
  <si>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</si>
  <si>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</si>
  <si>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</si>
  <si>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</si>
  <si>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</si>
  <si>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</si>
  <si>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</si>
  <si>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</si>
  <si>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</si>
  <si>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</si>
  <si>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</si>
  <si>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</si>
  <si>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</si>
  <si>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</si>
  <si>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</si>
  <si>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</si>
  <si>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</si>
  <si>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</si>
  <si>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</si>
  <si>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</si>
  <si>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</si>
  <si>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</si>
  <si>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</si>
  <si>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</si>
  <si>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</si>
  <si>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</si>
  <si>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</si>
  <si>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</si>
  <si>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</si>
  <si>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</si>
  <si>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</si>
  <si>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</si>
  <si>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</si>
  <si>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</si>
  <si>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</si>
  <si>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</si>
  <si>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</si>
  <si>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</si>
  <si>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</si>
  <si>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</si>
  <si>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</si>
  <si>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</si>
  <si>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</si>
  <si>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</si>
  <si>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</si>
  <si>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</si>
  <si>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</si>
  <si>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</si>
  <si>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</si>
  <si>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</si>
  <si>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</si>
  <si>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</si>
  <si>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</si>
  <si>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</si>
  <si>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</si>
  <si>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</si>
  <si>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</si>
  <si>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</si>
  <si>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</si>
  <si>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</si>
  <si>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</si>
  <si>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</si>
  <si>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</si>
  <si>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</si>
  <si>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</si>
  <si>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</si>
  <si>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</si>
  <si>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</si>
  <si>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</si>
  <si>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</si>
  <si>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</si>
  <si>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</si>
  <si>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</si>
  <si>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</si>
  <si>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</si>
  <si>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</si>
  <si>
    <t>6.3V</t>
  </si>
  <si>
    <t>500R07S2R0BV4T</t>
  </si>
  <si>
    <t>GRM155R71C104KA88D</t>
  </si>
  <si>
    <t>ERJ-2RKF16R5X</t>
  </si>
  <si>
    <t>Coco</t>
  </si>
  <si>
    <t>ECJ1VB1E104K</t>
  </si>
  <si>
    <t>0.1uF</t>
  </si>
  <si>
    <t>Rfbox</t>
  </si>
  <si>
    <t>RF box</t>
  </si>
  <si>
    <t>RF BOX</t>
  </si>
  <si>
    <t>10000pf</t>
  </si>
  <si>
    <t>RF  BOX</t>
  </si>
  <si>
    <t>0603YC104KAT2A</t>
  </si>
  <si>
    <t>EMK107B7105KA-T</t>
  </si>
  <si>
    <t>16V</t>
  </si>
  <si>
    <t>ECJ-1VV1A105K</t>
  </si>
  <si>
    <t>10V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</si>
</sst>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>
      <alignment vertical="center"/>
    </xf>
  </cellStyleXfs>
  <cellXfs count="65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1" applyFill="1" applyAlignment="1">
      <alignment horizontal="center" vertical="center"/>
    </xf>
    <xf numFmtId="49" fontId="6" fillId="0" borderId="0" xfId="1" applyNumberFormat="1" applyFill="1" applyAlignment="1">
      <alignment horizontal="center" vertical="center"/>
    </xf>
    <xf numFmtId="49" fontId="6" fillId="0" borderId="0" xfId="1" quotePrefix="1" applyNumberFormat="1" applyFill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49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G214" totalsRowShown="0" headerRowDxfId="48" dataDxfId="47">
  <autoFilter ref="A2:G214" xr:uid="{0FD037C0-1464-43AE-809C-A9DC97B9F51E}"/>
  <sortState ref="A3:F210">
    <sortCondition ref="A2:A210"/>
  </sortState>
  <tableColumns count="7">
    <tableColumn id="1" xr3:uid="{5359DA1D-63B9-449F-8761-A0BDB7E3BB5C}" name="Part num" dataDxfId="46" dataCellStyle="Normal 2"/>
    <tableColumn id="2" xr3:uid="{78BAB23D-D7D5-415C-BB95-A9CFB9CB230D}" name="value (Ohm)" dataDxfId="45" dataCellStyle="Normal 2"/>
    <tableColumn id="3" xr3:uid="{6F7B85B6-2DAD-47C9-8DC7-E3EBA9DE5730}" name="numerical" dataDxfId="44">
      <calculatedColumnFormula>IF(RIGHT(B3,1)="K",VALUE(LEFT(B3,LEN(B3)-1))*1000,VALUE(B3))</calculatedColumnFormula>
    </tableColumn>
    <tableColumn id="4" xr3:uid="{E3227AD6-9D7D-4586-8592-8EFAF03CF88F}" name="max voltage" dataDxfId="43"/>
    <tableColumn id="5" xr3:uid="{CB13A579-4548-4E1D-B6A9-15568C3CAE02}" name="footsize(imperial unit)" dataDxfId="42" dataCellStyle="Normal 2"/>
    <tableColumn id="6" xr3:uid="{85164B24-DE9B-475F-BCA2-3031DF432CBC}" name="quantity" dataDxfId="41" dataCellStyle="Normal 2"/>
    <tableColumn id="7" xr3:uid="{4453F552-AB58-439C-825F-461700451AE3}" name="Column1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G105" totalsRowShown="0" headerRowDxfId="39" dataDxfId="38">
  <autoFilter ref="A1:G105" xr:uid="{1CC63D22-B8E7-4B69-BD1C-E95AF129CAAC}"/>
  <sortState ref="A2:F100">
    <sortCondition ref="A1:A100"/>
  </sortState>
  <tableColumns count="7">
    <tableColumn id="1" xr3:uid="{0FA94ECA-DC73-4095-A1A3-7DC0DC971EE7}" name="Part num" dataDxfId="37"/>
    <tableColumn id="2" xr3:uid="{51A47A3B-6866-4FAE-A108-C3206894723B}" name="value" dataDxfId="36"/>
    <tableColumn id="3" xr3:uid="{9CDE2151-43C8-4644-BDFE-FD3338C9126A}" name="numerical(pf) " dataDxfId="35"/>
    <tableColumn id="4" xr3:uid="{E47CDE2E-8869-4D48-ABEF-E7D3EE413963}" name="max voltage" dataDxfId="34"/>
    <tableColumn id="5" xr3:uid="{F48D9526-114F-4490-8DF7-1E1C90520559}" name="footsize(imperial unit)" dataDxfId="33"/>
    <tableColumn id="6" xr3:uid="{F07BAC40-A600-40D2-82D2-580D208E8517}" name="quantity" dataDxfId="32"/>
    <tableColumn id="7" xr3:uid="{04348505-CDAB-41F1-ADDC-50CF4DF6CD97}" name="Column1" dataDxfId="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30" dataDxfId="29">
  <autoFilter ref="A2:D42" xr:uid="{61B74AC4-0FEA-49DC-9157-D78DB9E61967}"/>
  <tableColumns count="4">
    <tableColumn id="1" xr3:uid="{97C6202E-C6E2-4FA6-A865-924166E37D46}" name="Part num" dataDxfId="28"/>
    <tableColumn id="2" xr3:uid="{4D803588-4EF4-42AA-8E8A-7E4A795F10B8}" name="value " dataDxfId="27"/>
    <tableColumn id="3" xr3:uid="{59214CBC-3D51-40C4-8E8F-06121D574560}" name="CURRENT" dataDxfId="26"/>
    <tableColumn id="4" xr3:uid="{200C9B0D-E4A8-4D04-8C12-0790392A612C}" name="footsize(imperial unit)" dataDxfId="2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B78" totalsRowShown="0" headerRowDxfId="24" dataDxfId="23">
  <autoFilter ref="A1:B78" xr:uid="{7E7AB043-6248-4B89-871E-E1E0B44A7144}"/>
  <tableColumns count="2">
    <tableColumn id="1" xr3:uid="{41E8D986-5302-477C-9717-65347C9B93BC}" name="Filter" dataDxfId="22"/>
    <tableColumn id="2" xr3:uid="{29F76A88-AC6B-4B4E-9BF9-14C7CEBE500C}" name="NUM" dataDxfId="21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C63" totalsRowShown="0" headerRowDxfId="20" dataDxfId="19">
  <autoFilter ref="A1:C63" xr:uid="{82561BE0-40CA-41F7-BF0F-1AAAE28F4956}"/>
  <tableColumns count="3">
    <tableColumn id="1" xr3:uid="{1880903D-4F20-48EB-8A16-6CDA9D9D2273}" name="vco" dataDxfId="18"/>
    <tableColumn id="2" xr3:uid="{BB3B3B28-03E8-43F1-B975-FCC9834F96F9}" name="package" dataDxfId="17"/>
    <tableColumn id="3" xr3:uid="{9C819785-5ED7-43BF-95FD-632290D44936}" name="quanitity" dataDxfId="1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C30" totalsRowShown="0" dataDxfId="15">
  <autoFilter ref="A1:C30" xr:uid="{3E00B05E-3CAB-451C-980B-8DF338A03BF7}"/>
  <tableColumns count="3">
    <tableColumn id="1" xr3:uid="{8C1831DB-07FE-482A-A749-007C865DE873}" name="Freq Mixer" dataDxfId="14"/>
    <tableColumn id="2" xr3:uid="{EE136D9D-051B-4B35-B9D1-A8B1D0F46217}" name="package" dataDxfId="13"/>
    <tableColumn id="3" xr3:uid="{D2BBFF47-8203-413E-BDBC-DBF393EA47DF}" name="number" dataDxfId="1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C29" totalsRowShown="0">
  <autoFilter ref="A1:C29" xr:uid="{AE52C8EC-0936-4C7A-A36B-61715BA46526}"/>
  <tableColumns count="3">
    <tableColumn id="1" xr3:uid="{FCD5F671-EB20-44FA-9894-0D380585B636}" name="Amplifier" dataDxfId="11"/>
    <tableColumn id="2" xr3:uid="{8745B568-8F2E-4BEE-8CE3-C944E1CE2D1A}" name="package"/>
    <tableColumn id="3" xr3:uid="{10DBDB03-C0FE-464B-9749-27BF2CB00B37}" name="number" dataDxfId="1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9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8"/>
    <tableColumn id="2" xr3:uid="{77343D91-AD91-403B-8D5D-1FEDDECEE47A}" name="Current" dataDxfId="7"/>
    <tableColumn id="3" xr3:uid="{3A2792CC-91E3-489D-AC2B-6BA6B48D1D74}" name="Voltage" dataDxfId="6"/>
    <tableColumn id="4" xr3:uid="{6E907EB9-D3F1-4156-8C7F-F55716F126E5}" name="footprint" dataDxfId="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4">
  <autoFilter ref="A2:E6" xr:uid="{79A77C23-B708-4C86-A0C9-0E08A008D24F}"/>
  <tableColumns count="5">
    <tableColumn id="1" xr3:uid="{DC2371C0-A1FB-4AD1-A06E-8B7B9DE8C3F1}" name="P/N" dataDxfId="3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1"/>
    <tableColumn id="2" xr3:uid="{FA7A6A69-14BC-4298-8C9F-EC9DE8F95959}" name="package"/>
    <tableColumn id="3" xr3:uid="{A0098B77-B83B-4CBF-B32B-6540E23D60AC}" name="number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35" totalsRowShown="0">
  <autoFilter ref="A1:C35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4"/>
  <sheetViews>
    <sheetView topLeftCell="A169" zoomScaleNormal="100" workbookViewId="0">
      <selection activeCell="I84" sqref="I8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61" t="s">
        <v>69</v>
      </c>
      <c r="B1" s="61"/>
      <c r="C1" s="61"/>
      <c r="D1" s="61"/>
      <c r="E1" s="61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0" t="s">
        <v>539</v>
      </c>
      <c r="G2" s="49" t="s">
        <v>990</v>
      </c>
    </row>
    <row r="3" spans="1:12">
      <c r="A3" s="47" t="s">
        <v>846</v>
      </c>
      <c r="B3" s="47" t="s">
        <v>847</v>
      </c>
      <c r="C3" s="47">
        <f t="shared" ref="C3:C12" si="0">IF(RIGHT(B3,1)="K",VALUE(LEFT(B3,LEN(B3)-1))*1000,VALUE(B3))</f>
        <v>5110</v>
      </c>
      <c r="D3" s="47"/>
      <c r="E3" s="2" t="s">
        <v>174</v>
      </c>
      <c r="F3" s="47">
        <v>5000</v>
      </c>
      <c r="G3" s="49"/>
      <c r="K3" s="2"/>
      <c r="L3" s="2"/>
    </row>
    <row r="4" spans="1:12">
      <c r="A4" s="47" t="s">
        <v>747</v>
      </c>
      <c r="B4" s="47" t="s">
        <v>241</v>
      </c>
      <c r="C4" s="47">
        <f t="shared" si="0"/>
        <v>2000</v>
      </c>
      <c r="D4" s="47"/>
      <c r="E4" s="2" t="s">
        <v>178</v>
      </c>
      <c r="F4" s="47">
        <v>5000</v>
      </c>
      <c r="G4" s="49"/>
      <c r="K4" s="2"/>
      <c r="L4" s="2"/>
    </row>
    <row r="5" spans="1:12">
      <c r="A5" s="47" t="s">
        <v>754</v>
      </c>
      <c r="B5" s="47" t="s">
        <v>285</v>
      </c>
      <c r="C5" s="47">
        <f t="shared" si="0"/>
        <v>4990</v>
      </c>
      <c r="D5" s="47"/>
      <c r="E5" s="2" t="s">
        <v>174</v>
      </c>
      <c r="F5" s="47">
        <v>3000</v>
      </c>
      <c r="G5" s="49"/>
      <c r="K5" s="2"/>
      <c r="L5" s="2"/>
    </row>
    <row r="6" spans="1:12">
      <c r="A6" s="47" t="s">
        <v>770</v>
      </c>
      <c r="B6" s="47">
        <v>60.4</v>
      </c>
      <c r="C6" s="47">
        <f t="shared" si="0"/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769</v>
      </c>
      <c r="B7" s="47">
        <v>60.4</v>
      </c>
      <c r="C7" s="47">
        <f t="shared" si="0"/>
        <v>60.4</v>
      </c>
      <c r="D7" s="47"/>
      <c r="E7" s="47">
        <v>1206</v>
      </c>
      <c r="F7" s="47">
        <v>5000</v>
      </c>
      <c r="G7" s="49"/>
      <c r="K7" s="2"/>
      <c r="L7" s="2"/>
    </row>
    <row r="8" spans="1:12">
      <c r="A8" s="47" t="s">
        <v>362</v>
      </c>
      <c r="B8" s="47">
        <v>200</v>
      </c>
      <c r="C8" s="47">
        <f t="shared" si="0"/>
        <v>200</v>
      </c>
      <c r="D8" s="47"/>
      <c r="E8" s="2" t="s">
        <v>173</v>
      </c>
      <c r="F8" s="2"/>
      <c r="G8" s="49"/>
      <c r="K8" s="2"/>
      <c r="L8" s="2"/>
    </row>
    <row r="9" spans="1:12">
      <c r="A9" s="47" t="s">
        <v>366</v>
      </c>
      <c r="B9" s="47">
        <v>150</v>
      </c>
      <c r="C9" s="47">
        <f t="shared" si="0"/>
        <v>150</v>
      </c>
      <c r="D9" s="47"/>
      <c r="E9" s="2" t="s">
        <v>173</v>
      </c>
      <c r="F9" s="2"/>
      <c r="G9" s="49"/>
      <c r="K9" s="2"/>
      <c r="L9" s="2"/>
    </row>
    <row r="10" spans="1:12">
      <c r="A10" s="47" t="s">
        <v>357</v>
      </c>
      <c r="B10" s="47">
        <v>88</v>
      </c>
      <c r="C10" s="47">
        <f t="shared" si="0"/>
        <v>88</v>
      </c>
      <c r="D10" s="47"/>
      <c r="E10" s="2" t="s">
        <v>173</v>
      </c>
      <c r="F10" s="2"/>
      <c r="G10" s="49"/>
      <c r="K10" s="2"/>
      <c r="L10" s="2"/>
    </row>
    <row r="11" spans="1:12">
      <c r="A11" s="47" t="s">
        <v>361</v>
      </c>
      <c r="B11" s="47">
        <v>500</v>
      </c>
      <c r="C11" s="47">
        <f t="shared" si="0"/>
        <v>500</v>
      </c>
      <c r="D11" s="47"/>
      <c r="E11" s="2" t="s">
        <v>173</v>
      </c>
      <c r="F11" s="2"/>
      <c r="G11" s="49"/>
    </row>
    <row r="12" spans="1:12">
      <c r="A12" s="29" t="s">
        <v>480</v>
      </c>
      <c r="B12" s="47" t="s">
        <v>481</v>
      </c>
      <c r="C12" s="29">
        <f t="shared" si="0"/>
        <v>2200</v>
      </c>
      <c r="D12" s="47"/>
      <c r="E12" s="2" t="s">
        <v>178</v>
      </c>
      <c r="F12" s="2"/>
      <c r="G12" s="49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G13" s="49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  <c r="G14" s="49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G15" s="49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G16" s="49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G17" s="49"/>
      <c r="K17" s="2"/>
      <c r="L17" s="2"/>
    </row>
    <row r="18" spans="1:12">
      <c r="A18" s="47" t="s">
        <v>225</v>
      </c>
      <c r="B18" s="47" t="s">
        <v>226</v>
      </c>
      <c r="C18" s="47">
        <f t="shared" ref="C18:C23" si="1"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 t="shared" si="1"/>
        <v>180000</v>
      </c>
      <c r="D19" s="47"/>
      <c r="E19" s="3" t="s">
        <v>248</v>
      </c>
      <c r="F19" s="3"/>
      <c r="G19" s="49"/>
      <c r="K19" s="2"/>
      <c r="L19" s="2"/>
    </row>
    <row r="20" spans="1:12">
      <c r="A20" s="47" t="s">
        <v>227</v>
      </c>
      <c r="B20" s="47" t="s">
        <v>228</v>
      </c>
      <c r="C20" s="47">
        <f t="shared" si="1"/>
        <v>20000</v>
      </c>
      <c r="D20" s="47"/>
      <c r="E20" s="2" t="s">
        <v>174</v>
      </c>
      <c r="F20" s="2"/>
      <c r="G20" s="49"/>
      <c r="K20" s="2"/>
      <c r="L20" s="2"/>
    </row>
    <row r="21" spans="1:12">
      <c r="A21" s="47" t="s">
        <v>251</v>
      </c>
      <c r="B21" s="47">
        <v>220</v>
      </c>
      <c r="C21" s="47">
        <f t="shared" si="1"/>
        <v>220</v>
      </c>
      <c r="D21" s="47"/>
      <c r="E21" s="3" t="s">
        <v>248</v>
      </c>
      <c r="F21" s="3"/>
      <c r="G21" s="49"/>
      <c r="K21" s="2"/>
      <c r="L21" s="2"/>
    </row>
    <row r="22" spans="1:12">
      <c r="A22" s="47" t="s">
        <v>260</v>
      </c>
      <c r="B22" s="47" t="s">
        <v>261</v>
      </c>
      <c r="C22" s="47">
        <f t="shared" si="1"/>
        <v>249000</v>
      </c>
      <c r="D22" s="47"/>
      <c r="E22" s="3" t="s">
        <v>248</v>
      </c>
      <c r="F22" s="3"/>
      <c r="G22" s="49"/>
      <c r="K22" s="2"/>
      <c r="L22" s="2"/>
    </row>
    <row r="23" spans="1:12">
      <c r="A23" s="47" t="s">
        <v>224</v>
      </c>
      <c r="B23" s="47" t="s">
        <v>211</v>
      </c>
      <c r="C23" s="47">
        <f t="shared" si="1"/>
        <v>30000</v>
      </c>
      <c r="D23" s="47"/>
      <c r="E23" s="2" t="s">
        <v>174</v>
      </c>
      <c r="F23" s="2"/>
      <c r="G23" s="49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G24" s="49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G25" s="49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G26" s="49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G27" s="49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G28" s="49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G29" s="4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G30" s="49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G31" s="49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G32" s="49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G33" s="49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G34" s="49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G35" s="49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G36" s="49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G37" s="49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G38" s="49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G39" s="49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G40" s="49"/>
      <c r="K40" s="2"/>
      <c r="L40" s="2"/>
    </row>
    <row r="41" spans="1:12">
      <c r="A41" s="41" t="s">
        <v>697</v>
      </c>
      <c r="B41" s="42" t="s">
        <v>696</v>
      </c>
      <c r="C41" s="43">
        <f t="shared" ref="C41:C52" si="2">IF(RIGHT(B41,1)="K",VALUE(LEFT(B41,LEN(B41)-1))*1000,VALUE(B41))</f>
        <v>1000</v>
      </c>
      <c r="D41" s="43"/>
      <c r="E41" s="41" t="s">
        <v>688</v>
      </c>
      <c r="F41" s="42">
        <v>500</v>
      </c>
      <c r="G41" s="43" t="s">
        <v>1001</v>
      </c>
    </row>
    <row r="42" spans="1:12">
      <c r="A42" s="47" t="s">
        <v>831</v>
      </c>
      <c r="B42" s="47" t="s">
        <v>293</v>
      </c>
      <c r="C42" s="47">
        <f t="shared" si="2"/>
        <v>10000</v>
      </c>
      <c r="D42" s="47"/>
      <c r="E42" s="2" t="s">
        <v>174</v>
      </c>
      <c r="F42" s="47">
        <v>200</v>
      </c>
      <c r="G42" s="49"/>
      <c r="K42" s="2"/>
      <c r="L42" s="2"/>
    </row>
    <row r="43" spans="1:12">
      <c r="A43" s="47" t="s">
        <v>790</v>
      </c>
      <c r="B43" s="47" t="s">
        <v>789</v>
      </c>
      <c r="C43" s="47">
        <f t="shared" si="2"/>
        <v>15000</v>
      </c>
      <c r="D43" s="47"/>
      <c r="E43" s="2" t="s">
        <v>174</v>
      </c>
      <c r="F43" s="47">
        <v>4000</v>
      </c>
      <c r="G43" s="49"/>
      <c r="K43" s="2"/>
      <c r="L43" s="2"/>
    </row>
    <row r="44" spans="1:12" ht="15.6">
      <c r="A44" s="52" t="s">
        <v>912</v>
      </c>
      <c r="B44" s="52" t="s">
        <v>761</v>
      </c>
      <c r="C44" s="47">
        <f t="shared" si="2"/>
        <v>300000</v>
      </c>
      <c r="D44" s="47"/>
      <c r="E44" s="53" t="s">
        <v>174</v>
      </c>
      <c r="F44" s="53" t="s">
        <v>917</v>
      </c>
      <c r="G44" s="49"/>
      <c r="J44" s="2"/>
      <c r="K44" s="2"/>
      <c r="L44" s="2"/>
    </row>
    <row r="45" spans="1:12">
      <c r="A45" s="29" t="s">
        <v>386</v>
      </c>
      <c r="B45" s="29" t="s">
        <v>387</v>
      </c>
      <c r="C45" s="29">
        <f t="shared" si="2"/>
        <v>2870</v>
      </c>
      <c r="D45" s="29"/>
      <c r="E45" s="28" t="s">
        <v>173</v>
      </c>
      <c r="F45" s="28"/>
      <c r="G45" s="49"/>
      <c r="K45" s="2"/>
      <c r="L45" s="2"/>
    </row>
    <row r="46" spans="1:12">
      <c r="A46" s="29" t="s">
        <v>388</v>
      </c>
      <c r="B46" s="29" t="s">
        <v>389</v>
      </c>
      <c r="C46" s="29">
        <f t="shared" si="2"/>
        <v>4990</v>
      </c>
      <c r="D46" s="29"/>
      <c r="E46" s="28" t="s">
        <v>173</v>
      </c>
      <c r="F46" s="28"/>
      <c r="G46" s="49"/>
    </row>
    <row r="47" spans="1:12">
      <c r="A47" s="47" t="s">
        <v>852</v>
      </c>
      <c r="B47" s="47" t="s">
        <v>238</v>
      </c>
      <c r="C47" s="47">
        <f t="shared" si="2"/>
        <v>7150</v>
      </c>
      <c r="D47" s="47"/>
      <c r="E47" s="2" t="s">
        <v>174</v>
      </c>
      <c r="F47" s="47">
        <v>500</v>
      </c>
      <c r="G47" s="49"/>
      <c r="K47" s="2"/>
      <c r="L47" s="2"/>
    </row>
    <row r="48" spans="1:12">
      <c r="A48" s="47" t="s">
        <v>852</v>
      </c>
      <c r="B48" s="47" t="s">
        <v>238</v>
      </c>
      <c r="C48" s="47">
        <f t="shared" si="2"/>
        <v>7150</v>
      </c>
      <c r="D48" s="47"/>
      <c r="E48" s="2" t="s">
        <v>174</v>
      </c>
      <c r="F48" s="47">
        <v>2000</v>
      </c>
      <c r="G48" s="49"/>
      <c r="K48" s="2"/>
      <c r="L48" s="2"/>
    </row>
    <row r="49" spans="1:12">
      <c r="A49" s="29" t="s">
        <v>391</v>
      </c>
      <c r="B49" s="29">
        <v>10</v>
      </c>
      <c r="C49" s="29">
        <f t="shared" si="2"/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 t="shared" si="2"/>
        <v>3600</v>
      </c>
      <c r="D50" s="47"/>
      <c r="E50" s="2" t="s">
        <v>174</v>
      </c>
      <c r="F50" s="2"/>
      <c r="G50" s="49"/>
      <c r="K50" s="2"/>
      <c r="L50" s="2"/>
    </row>
    <row r="51" spans="1:12">
      <c r="A51" s="29" t="s">
        <v>378</v>
      </c>
      <c r="B51" s="29">
        <v>3.9</v>
      </c>
      <c r="C51" s="29">
        <f t="shared" si="2"/>
        <v>3.9</v>
      </c>
      <c r="D51" s="29"/>
      <c r="E51" s="28" t="s">
        <v>178</v>
      </c>
      <c r="F51" s="28"/>
      <c r="G51" s="49"/>
      <c r="K51" s="2"/>
      <c r="L51" s="2"/>
    </row>
    <row r="52" spans="1:12">
      <c r="A52" s="29" t="s">
        <v>382</v>
      </c>
      <c r="B52" s="29">
        <v>47</v>
      </c>
      <c r="C52" s="29">
        <f t="shared" si="2"/>
        <v>47</v>
      </c>
      <c r="D52" s="29"/>
      <c r="E52" s="29">
        <v>1206</v>
      </c>
      <c r="F52" s="29"/>
      <c r="G52" s="4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G53" s="49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G54" s="49"/>
      <c r="K54" s="2"/>
      <c r="L54" s="2"/>
    </row>
    <row r="55" spans="1:12">
      <c r="A55" s="47" t="s">
        <v>356</v>
      </c>
      <c r="B55" s="47">
        <v>100</v>
      </c>
      <c r="C55" s="47">
        <f t="shared" ref="C55:C77" si="3">IF(RIGHT(B55,1)="K",VALUE(LEFT(B55,LEN(B55)-1))*1000,VALUE(B55))</f>
        <v>100</v>
      </c>
      <c r="D55" s="47"/>
      <c r="E55" s="2" t="s">
        <v>173</v>
      </c>
      <c r="F55" s="2"/>
      <c r="G55" s="49"/>
      <c r="K55" s="2"/>
      <c r="L55" s="2"/>
    </row>
    <row r="56" spans="1:12" ht="15.6">
      <c r="A56" s="52" t="s">
        <v>888</v>
      </c>
      <c r="B56" s="52">
        <v>100</v>
      </c>
      <c r="C56" s="47">
        <f t="shared" si="3"/>
        <v>100</v>
      </c>
      <c r="D56" s="47"/>
      <c r="E56" s="53" t="s">
        <v>173</v>
      </c>
      <c r="F56" s="53" t="s">
        <v>919</v>
      </c>
      <c r="G56" s="49"/>
      <c r="K56" s="2"/>
      <c r="L56" s="2"/>
    </row>
    <row r="57" spans="1:12" ht="15.6">
      <c r="A57" s="52" t="s">
        <v>887</v>
      </c>
      <c r="B57" s="52">
        <v>50</v>
      </c>
      <c r="C57" s="47">
        <f t="shared" si="3"/>
        <v>50</v>
      </c>
      <c r="D57" s="47"/>
      <c r="E57" s="53" t="s">
        <v>173</v>
      </c>
      <c r="F57" s="53" t="s">
        <v>918</v>
      </c>
      <c r="G57" s="49"/>
      <c r="K57" s="2"/>
      <c r="L57" s="2"/>
    </row>
    <row r="58" spans="1:12">
      <c r="A58" s="47" t="s">
        <v>358</v>
      </c>
      <c r="B58" s="47">
        <v>50</v>
      </c>
      <c r="C58" s="47">
        <f t="shared" si="3"/>
        <v>50</v>
      </c>
      <c r="D58" s="47"/>
      <c r="E58" s="2" t="s">
        <v>174</v>
      </c>
      <c r="F58" s="2"/>
      <c r="G58" s="49"/>
      <c r="K58" s="2"/>
      <c r="L58" s="2"/>
    </row>
    <row r="59" spans="1:12">
      <c r="A59" s="47" t="s">
        <v>355</v>
      </c>
      <c r="B59" s="47"/>
      <c r="C59" s="47">
        <f t="shared" si="3"/>
        <v>0</v>
      </c>
      <c r="D59" s="47"/>
      <c r="E59" s="47"/>
      <c r="F59" s="47"/>
      <c r="G59" s="49"/>
      <c r="K59" s="2"/>
      <c r="L59" s="2"/>
    </row>
    <row r="60" spans="1:12">
      <c r="A60" s="29" t="s">
        <v>749</v>
      </c>
      <c r="B60" s="29" t="s">
        <v>748</v>
      </c>
      <c r="C60" s="29">
        <f t="shared" si="3"/>
        <v>10000</v>
      </c>
      <c r="D60" s="29"/>
      <c r="E60" s="28" t="s">
        <v>178</v>
      </c>
      <c r="F60" s="28">
        <v>3000</v>
      </c>
      <c r="G60" s="49"/>
      <c r="K60" s="2"/>
      <c r="L60" s="2"/>
    </row>
    <row r="61" spans="1:12">
      <c r="A61" s="29" t="s">
        <v>395</v>
      </c>
      <c r="B61" s="29" t="s">
        <v>182</v>
      </c>
      <c r="C61" s="29">
        <f t="shared" si="3"/>
        <v>1000</v>
      </c>
      <c r="D61" s="29"/>
      <c r="E61" s="28" t="s">
        <v>173</v>
      </c>
      <c r="F61" s="28"/>
      <c r="G61" s="49"/>
      <c r="K61" s="2"/>
      <c r="L61" s="2"/>
    </row>
    <row r="62" spans="1:12">
      <c r="A62" s="29" t="s">
        <v>393</v>
      </c>
      <c r="B62" s="29" t="s">
        <v>394</v>
      </c>
      <c r="C62" s="29">
        <f t="shared" si="3"/>
        <v>2000</v>
      </c>
      <c r="D62" s="29"/>
      <c r="E62" s="28" t="s">
        <v>174</v>
      </c>
      <c r="F62" s="28"/>
      <c r="G62" s="49"/>
    </row>
    <row r="63" spans="1:12">
      <c r="A63" s="29" t="s">
        <v>397</v>
      </c>
      <c r="B63" s="29" t="s">
        <v>181</v>
      </c>
      <c r="C63" s="29">
        <f t="shared" si="3"/>
        <v>200000</v>
      </c>
      <c r="D63" s="29"/>
      <c r="E63" s="28" t="s">
        <v>174</v>
      </c>
      <c r="F63" s="28"/>
      <c r="G63" s="49"/>
      <c r="K63" s="2"/>
      <c r="L63" s="2"/>
    </row>
    <row r="64" spans="1:12">
      <c r="A64" s="29" t="s">
        <v>379</v>
      </c>
      <c r="B64" s="29" t="s">
        <v>380</v>
      </c>
      <c r="C64" s="29">
        <f t="shared" si="3"/>
        <v>41200</v>
      </c>
      <c r="D64" s="29"/>
      <c r="E64" s="28" t="s">
        <v>174</v>
      </c>
      <c r="F64" s="28"/>
      <c r="G64" s="49"/>
      <c r="K64" s="2"/>
      <c r="L64" s="2"/>
    </row>
    <row r="65" spans="1:12">
      <c r="A65" s="47" t="s">
        <v>292</v>
      </c>
      <c r="B65" s="47" t="s">
        <v>293</v>
      </c>
      <c r="C65" s="47">
        <f t="shared" si="3"/>
        <v>10000</v>
      </c>
      <c r="D65" s="47"/>
      <c r="E65" s="2" t="s">
        <v>178</v>
      </c>
      <c r="F65" s="2"/>
      <c r="G65" s="49"/>
      <c r="K65" s="2"/>
      <c r="L65" s="2"/>
    </row>
    <row r="66" spans="1:12">
      <c r="A66" s="47" t="s">
        <v>288</v>
      </c>
      <c r="B66" s="47" t="s">
        <v>289</v>
      </c>
      <c r="C66" s="47">
        <f t="shared" si="3"/>
        <v>1500</v>
      </c>
      <c r="D66" s="47"/>
      <c r="E66" s="2" t="s">
        <v>178</v>
      </c>
      <c r="F66" s="2"/>
      <c r="G66" s="49"/>
      <c r="K66" s="2"/>
      <c r="L66" s="2"/>
    </row>
    <row r="67" spans="1:12">
      <c r="A67" s="47" t="s">
        <v>798</v>
      </c>
      <c r="B67" s="47" t="s">
        <v>211</v>
      </c>
      <c r="C67" s="47">
        <f t="shared" si="3"/>
        <v>30000</v>
      </c>
      <c r="D67" s="47"/>
      <c r="E67" s="2" t="s">
        <v>174</v>
      </c>
      <c r="F67" s="47">
        <v>5000</v>
      </c>
      <c r="G67" s="49"/>
      <c r="K67" s="2"/>
      <c r="L67" s="2"/>
    </row>
    <row r="68" spans="1:12">
      <c r="A68" s="29" t="s">
        <v>381</v>
      </c>
      <c r="B68" s="29">
        <v>243</v>
      </c>
      <c r="C68" s="29">
        <f t="shared" si="3"/>
        <v>243</v>
      </c>
      <c r="D68" s="29"/>
      <c r="E68" s="29">
        <v>1206</v>
      </c>
      <c r="F68" s="29"/>
      <c r="G68" s="49"/>
      <c r="K68" s="2"/>
      <c r="L68" s="2"/>
    </row>
    <row r="69" spans="1:12">
      <c r="A69" s="29" t="s">
        <v>390</v>
      </c>
      <c r="B69" s="29" t="s">
        <v>182</v>
      </c>
      <c r="C69" s="29">
        <f t="shared" si="3"/>
        <v>1000</v>
      </c>
      <c r="D69" s="29"/>
      <c r="E69" s="29">
        <v>1206</v>
      </c>
      <c r="F69" s="29"/>
      <c r="G69" s="49"/>
      <c r="K69" s="2"/>
      <c r="L69" s="2"/>
    </row>
    <row r="70" spans="1:12">
      <c r="A70" s="29" t="s">
        <v>396</v>
      </c>
      <c r="B70" s="29">
        <v>100</v>
      </c>
      <c r="C70" s="29">
        <f t="shared" si="3"/>
        <v>100</v>
      </c>
      <c r="D70" s="29"/>
      <c r="E70" s="29">
        <v>1206</v>
      </c>
      <c r="F70" s="29"/>
      <c r="G70" s="49"/>
      <c r="K70" s="2"/>
      <c r="L70" s="2"/>
    </row>
    <row r="71" spans="1:12">
      <c r="A71" s="29" t="s">
        <v>374</v>
      </c>
      <c r="B71" s="29" t="s">
        <v>375</v>
      </c>
      <c r="C71" s="29" t="e">
        <f t="shared" si="3"/>
        <v>#VALUE!</v>
      </c>
      <c r="D71" s="29"/>
      <c r="E71" s="28" t="s">
        <v>174</v>
      </c>
      <c r="F71" s="28"/>
      <c r="G71" s="49"/>
      <c r="K71" s="2"/>
      <c r="L71" s="2"/>
    </row>
    <row r="72" spans="1:12">
      <c r="A72" s="47" t="s">
        <v>326</v>
      </c>
      <c r="B72" s="47" t="s">
        <v>228</v>
      </c>
      <c r="C72" s="47">
        <f t="shared" si="3"/>
        <v>20000</v>
      </c>
      <c r="D72" s="47"/>
      <c r="E72" s="2" t="s">
        <v>178</v>
      </c>
      <c r="F72" s="2"/>
      <c r="G72" s="49"/>
      <c r="K72" s="2"/>
      <c r="L72" s="2"/>
    </row>
    <row r="73" spans="1:12">
      <c r="A73" s="47" t="s">
        <v>290</v>
      </c>
      <c r="B73" s="47">
        <v>267</v>
      </c>
      <c r="C73" s="47">
        <f t="shared" si="3"/>
        <v>267</v>
      </c>
      <c r="D73" s="47"/>
      <c r="E73" s="2" t="s">
        <v>175</v>
      </c>
      <c r="F73" s="2"/>
      <c r="G73" s="49"/>
      <c r="K73" s="2"/>
      <c r="L73" s="2"/>
    </row>
    <row r="74" spans="1:12">
      <c r="A74" s="47" t="s">
        <v>757</v>
      </c>
      <c r="B74" s="47" t="s">
        <v>758</v>
      </c>
      <c r="C74" s="47">
        <f t="shared" si="3"/>
        <v>3300</v>
      </c>
      <c r="D74" s="47"/>
      <c r="E74" s="2" t="s">
        <v>178</v>
      </c>
      <c r="F74" s="47">
        <v>5000</v>
      </c>
      <c r="G74" s="49"/>
      <c r="K74" s="2"/>
      <c r="L74" s="2"/>
    </row>
    <row r="75" spans="1:12" ht="15.6">
      <c r="A75" s="52" t="s">
        <v>889</v>
      </c>
      <c r="B75" s="52">
        <v>100</v>
      </c>
      <c r="C75" s="47">
        <f t="shared" si="3"/>
        <v>100</v>
      </c>
      <c r="D75" s="47"/>
      <c r="E75" s="53" t="s">
        <v>173</v>
      </c>
      <c r="F75" s="53" t="s">
        <v>920</v>
      </c>
      <c r="G75" s="49"/>
      <c r="K75" s="2"/>
      <c r="L75" s="2"/>
    </row>
    <row r="76" spans="1:12" ht="15.6">
      <c r="A76" s="52" t="s">
        <v>894</v>
      </c>
      <c r="B76" s="52" t="s">
        <v>293</v>
      </c>
      <c r="C76" s="47">
        <f t="shared" si="3"/>
        <v>10000</v>
      </c>
      <c r="D76" s="47"/>
      <c r="E76" s="53" t="s">
        <v>173</v>
      </c>
      <c r="F76" s="53" t="s">
        <v>917</v>
      </c>
      <c r="G76" s="49"/>
      <c r="K76" s="2"/>
      <c r="L76" s="2"/>
    </row>
    <row r="77" spans="1:12" ht="15.6">
      <c r="A77" s="52" t="s">
        <v>892</v>
      </c>
      <c r="B77" s="52" t="s">
        <v>739</v>
      </c>
      <c r="C77" s="47">
        <f t="shared" si="3"/>
        <v>1000</v>
      </c>
      <c r="D77" s="47"/>
      <c r="E77" s="53" t="s">
        <v>173</v>
      </c>
      <c r="F77" s="53" t="s">
        <v>917</v>
      </c>
      <c r="G77" s="49"/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G78" s="49"/>
      <c r="K78" s="2"/>
      <c r="L78" s="2"/>
    </row>
    <row r="79" spans="1:12" ht="15.6">
      <c r="A79" s="52" t="s">
        <v>895</v>
      </c>
      <c r="B79" s="52" t="s">
        <v>228</v>
      </c>
      <c r="C79" s="47">
        <f t="shared" ref="C79:C85" si="4">IF(RIGHT(B79,1)="K",VALUE(LEFT(B79,LEN(B79)-1))*1000,VALUE(B79))</f>
        <v>20000</v>
      </c>
      <c r="D79" s="47"/>
      <c r="E79" s="53" t="s">
        <v>173</v>
      </c>
      <c r="F79" s="53" t="s">
        <v>917</v>
      </c>
      <c r="G79" s="49"/>
      <c r="K79" s="2"/>
      <c r="L79" s="2"/>
    </row>
    <row r="80" spans="1:12" ht="15.6">
      <c r="A80" s="52" t="s">
        <v>886</v>
      </c>
      <c r="B80" s="52">
        <v>49.9</v>
      </c>
      <c r="C80" s="47">
        <f t="shared" si="4"/>
        <v>49.9</v>
      </c>
      <c r="D80" s="47"/>
      <c r="E80" s="53" t="s">
        <v>173</v>
      </c>
      <c r="F80" s="53" t="s">
        <v>917</v>
      </c>
      <c r="G80" s="49"/>
    </row>
    <row r="81" spans="1:7" ht="15.6">
      <c r="A81" s="52" t="s">
        <v>886</v>
      </c>
      <c r="B81" s="52">
        <v>49.9</v>
      </c>
      <c r="C81" s="47">
        <f t="shared" si="4"/>
        <v>49.9</v>
      </c>
      <c r="D81" s="47"/>
      <c r="E81" s="53" t="s">
        <v>173</v>
      </c>
      <c r="F81" s="53" t="s">
        <v>917</v>
      </c>
      <c r="G81" s="49"/>
    </row>
    <row r="82" spans="1:7">
      <c r="A82" s="43" t="s">
        <v>700</v>
      </c>
      <c r="B82" s="43">
        <v>0</v>
      </c>
      <c r="C82" s="43">
        <f t="shared" si="4"/>
        <v>0</v>
      </c>
      <c r="D82" s="43"/>
      <c r="E82" s="44" t="s">
        <v>173</v>
      </c>
      <c r="F82" s="43">
        <v>200</v>
      </c>
      <c r="G82" s="49" t="s">
        <v>996</v>
      </c>
    </row>
    <row r="83" spans="1:7" ht="15.6">
      <c r="A83" s="52" t="s">
        <v>893</v>
      </c>
      <c r="B83" s="52" t="s">
        <v>293</v>
      </c>
      <c r="C83" s="47">
        <f t="shared" si="4"/>
        <v>10000</v>
      </c>
      <c r="D83" s="47"/>
      <c r="E83" s="53" t="s">
        <v>173</v>
      </c>
      <c r="F83" s="53" t="s">
        <v>917</v>
      </c>
      <c r="G83" s="49"/>
    </row>
    <row r="84" spans="1:7" ht="15.6">
      <c r="A84" s="52" t="s">
        <v>896</v>
      </c>
      <c r="B84" s="52" t="s">
        <v>228</v>
      </c>
      <c r="C84" s="47">
        <f t="shared" si="4"/>
        <v>20000</v>
      </c>
      <c r="D84" s="47"/>
      <c r="E84" s="53" t="s">
        <v>173</v>
      </c>
      <c r="F84" s="53" t="s">
        <v>917</v>
      </c>
      <c r="G84" s="49"/>
    </row>
    <row r="85" spans="1:7">
      <c r="A85" s="47" t="s">
        <v>809</v>
      </c>
      <c r="B85" s="47">
        <v>100</v>
      </c>
      <c r="C85" s="47">
        <f t="shared" si="4"/>
        <v>100</v>
      </c>
      <c r="D85" s="47"/>
      <c r="E85" s="2" t="s">
        <v>174</v>
      </c>
      <c r="F85" s="47">
        <v>4000</v>
      </c>
      <c r="G85" s="49"/>
    </row>
    <row r="86" spans="1:7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  <c r="G86" s="49"/>
    </row>
    <row r="87" spans="1:7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  <c r="G87" s="49"/>
    </row>
    <row r="88" spans="1:7">
      <c r="A88" s="43" t="s">
        <v>709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  <c r="G88" s="49" t="s">
        <v>996</v>
      </c>
    </row>
    <row r="89" spans="1:7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  <c r="G89" s="49"/>
    </row>
    <row r="90" spans="1:7">
      <c r="A90" s="47" t="s">
        <v>807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  <c r="G90" s="49"/>
    </row>
    <row r="91" spans="1:7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  <c r="G91" s="49"/>
    </row>
    <row r="92" spans="1:7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  <c r="G92" s="49"/>
    </row>
    <row r="93" spans="1:7">
      <c r="A93" s="47" t="s">
        <v>788</v>
      </c>
      <c r="B93" s="47" t="s">
        <v>789</v>
      </c>
      <c r="C93" s="47">
        <f t="shared" ref="C93:C98" si="5">IF(RIGHT(B93,1)="K",VALUE(LEFT(B93,LEN(B93)-1))*1000,VALUE(B93))</f>
        <v>15000</v>
      </c>
      <c r="D93" s="47"/>
      <c r="E93" s="2" t="s">
        <v>174</v>
      </c>
      <c r="F93" s="47">
        <v>3000</v>
      </c>
      <c r="G93" s="49"/>
    </row>
    <row r="94" spans="1:7">
      <c r="A94" s="47" t="s">
        <v>822</v>
      </c>
      <c r="B94" s="47" t="s">
        <v>823</v>
      </c>
      <c r="C94" s="47">
        <f t="shared" si="5"/>
        <v>1150</v>
      </c>
      <c r="D94" s="47"/>
      <c r="E94" s="2" t="s">
        <v>174</v>
      </c>
      <c r="F94" s="47">
        <v>5000</v>
      </c>
      <c r="G94" s="49"/>
    </row>
    <row r="95" spans="1:7">
      <c r="A95" s="47" t="s">
        <v>826</v>
      </c>
      <c r="B95" s="47" t="s">
        <v>827</v>
      </c>
      <c r="C95" s="47">
        <f t="shared" si="5"/>
        <v>1200</v>
      </c>
      <c r="D95" s="47"/>
      <c r="E95" s="2" t="s">
        <v>174</v>
      </c>
      <c r="F95" s="47">
        <v>2000</v>
      </c>
      <c r="G95" s="49"/>
    </row>
    <row r="96" spans="1:7">
      <c r="A96" s="47" t="s">
        <v>755</v>
      </c>
      <c r="B96" s="47" t="s">
        <v>756</v>
      </c>
      <c r="C96" s="47">
        <f t="shared" si="5"/>
        <v>1540</v>
      </c>
      <c r="D96" s="47"/>
      <c r="E96" s="2" t="s">
        <v>174</v>
      </c>
      <c r="F96" s="47">
        <v>5000</v>
      </c>
      <c r="G96" s="49"/>
    </row>
    <row r="97" spans="1:7">
      <c r="A97" s="47" t="s">
        <v>830</v>
      </c>
      <c r="B97" s="47">
        <v>200</v>
      </c>
      <c r="C97" s="47">
        <f t="shared" si="5"/>
        <v>200</v>
      </c>
      <c r="D97" s="47"/>
      <c r="E97" s="2" t="s">
        <v>174</v>
      </c>
      <c r="F97" s="47">
        <v>4000</v>
      </c>
      <c r="G97" s="49"/>
    </row>
    <row r="98" spans="1:7">
      <c r="A98" s="47" t="s">
        <v>792</v>
      </c>
      <c r="B98" s="47" t="s">
        <v>228</v>
      </c>
      <c r="C98" s="47">
        <f t="shared" si="5"/>
        <v>20000</v>
      </c>
      <c r="D98" s="47"/>
      <c r="E98" s="2" t="s">
        <v>174</v>
      </c>
      <c r="F98" s="47">
        <v>5000</v>
      </c>
      <c r="G98" s="49"/>
    </row>
    <row r="99" spans="1:7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  <c r="G99" s="49"/>
    </row>
    <row r="100" spans="1:7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  <c r="G100" s="49"/>
    </row>
    <row r="101" spans="1:7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  <c r="G101" s="49"/>
    </row>
    <row r="102" spans="1:7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  <c r="G102" s="49"/>
    </row>
    <row r="103" spans="1:7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  <c r="G103" s="49"/>
    </row>
    <row r="104" spans="1:7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  <c r="G104" s="49"/>
    </row>
    <row r="105" spans="1:7">
      <c r="A105" s="47" t="s">
        <v>828</v>
      </c>
      <c r="B105" s="47" t="s">
        <v>829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  <c r="G105" s="49"/>
    </row>
    <row r="106" spans="1:7">
      <c r="A106" s="47" t="s">
        <v>853</v>
      </c>
      <c r="B106" s="47" t="s">
        <v>854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  <c r="G106" s="49"/>
    </row>
    <row r="107" spans="1:7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  <c r="G107" s="49"/>
    </row>
    <row r="108" spans="1:7">
      <c r="A108" s="47" t="s">
        <v>240</v>
      </c>
      <c r="B108" s="47" t="s">
        <v>241</v>
      </c>
      <c r="C108" s="47">
        <f t="shared" ref="C108:C113" si="6">IF(RIGHT(B108,1)="K",VALUE(LEFT(B108,LEN(B108)-1))*1000,VALUE(B108))</f>
        <v>2000</v>
      </c>
      <c r="D108" s="47"/>
      <c r="E108" s="2" t="s">
        <v>174</v>
      </c>
      <c r="F108" s="47">
        <v>4000</v>
      </c>
      <c r="G108" s="49"/>
    </row>
    <row r="109" spans="1:7">
      <c r="A109" s="47" t="s">
        <v>799</v>
      </c>
      <c r="B109" s="47" t="s">
        <v>800</v>
      </c>
      <c r="C109" s="47">
        <f t="shared" si="6"/>
        <v>30900</v>
      </c>
      <c r="D109" s="47"/>
      <c r="E109" s="2" t="s">
        <v>174</v>
      </c>
      <c r="F109" s="47">
        <v>5000</v>
      </c>
      <c r="G109" s="49"/>
    </row>
    <row r="110" spans="1:7">
      <c r="A110" s="47" t="s">
        <v>832</v>
      </c>
      <c r="B110" s="47">
        <v>332</v>
      </c>
      <c r="C110" s="47">
        <f t="shared" si="6"/>
        <v>332</v>
      </c>
      <c r="D110" s="47"/>
      <c r="E110" s="2" t="s">
        <v>174</v>
      </c>
      <c r="F110" s="47">
        <v>2000</v>
      </c>
      <c r="G110" s="49"/>
    </row>
    <row r="111" spans="1:7" ht="15.6">
      <c r="A111" s="52" t="s">
        <v>897</v>
      </c>
      <c r="B111" s="52" t="s">
        <v>898</v>
      </c>
      <c r="C111" s="47">
        <f t="shared" si="6"/>
        <v>33000</v>
      </c>
      <c r="D111" s="47"/>
      <c r="E111" s="53" t="s">
        <v>174</v>
      </c>
      <c r="F111" s="53" t="s">
        <v>917</v>
      </c>
      <c r="G111" s="49"/>
    </row>
    <row r="112" spans="1:7">
      <c r="A112" s="47" t="s">
        <v>833</v>
      </c>
      <c r="B112" s="47">
        <v>374</v>
      </c>
      <c r="C112" s="47">
        <f t="shared" si="6"/>
        <v>374</v>
      </c>
      <c r="D112" s="47"/>
      <c r="E112" s="2" t="s">
        <v>174</v>
      </c>
      <c r="F112" s="47">
        <v>4000</v>
      </c>
      <c r="G112" s="49"/>
    </row>
    <row r="113" spans="1:7">
      <c r="A113" s="43" t="s">
        <v>707</v>
      </c>
      <c r="B113" s="43" t="s">
        <v>708</v>
      </c>
      <c r="C113" s="43">
        <f t="shared" si="6"/>
        <v>3320</v>
      </c>
      <c r="D113" s="43"/>
      <c r="E113" s="44" t="s">
        <v>174</v>
      </c>
      <c r="F113" s="43">
        <v>300</v>
      </c>
      <c r="G113" s="49" t="s">
        <v>996</v>
      </c>
    </row>
    <row r="114" spans="1:7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  <c r="G114" s="49"/>
    </row>
    <row r="115" spans="1:7">
      <c r="A115" s="47" t="s">
        <v>759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  <c r="G115" s="49"/>
    </row>
    <row r="116" spans="1:7" ht="15.6">
      <c r="A116" s="52" t="s">
        <v>900</v>
      </c>
      <c r="B116" s="52" t="s">
        <v>901</v>
      </c>
      <c r="C116" s="47">
        <f>IF(RIGHT(B116,1)="K",VALUE(LEFT(B116,LEN(B116)-1))*1000,VALUE(B116))</f>
        <v>47000</v>
      </c>
      <c r="D116" s="47"/>
      <c r="E116" s="53" t="s">
        <v>174</v>
      </c>
      <c r="F116" s="53" t="s">
        <v>917</v>
      </c>
      <c r="G116" s="49"/>
    </row>
    <row r="117" spans="1:7">
      <c r="A117" s="41" t="s">
        <v>693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688</v>
      </c>
      <c r="F117" s="42">
        <v>1000</v>
      </c>
      <c r="G117" s="49" t="s">
        <v>1000</v>
      </c>
    </row>
    <row r="118" spans="1:7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  <c r="G118" s="49"/>
    </row>
    <row r="119" spans="1:7">
      <c r="A119" s="47" t="s">
        <v>803</v>
      </c>
      <c r="B119" s="47">
        <v>53.6</v>
      </c>
      <c r="C119" s="47">
        <f t="shared" ref="C119:C124" si="7">IF(RIGHT(B119,1)="K",VALUE(LEFT(B119,LEN(B119)-1))*1000,VALUE(B119))</f>
        <v>53.6</v>
      </c>
      <c r="D119" s="47"/>
      <c r="E119" s="2" t="s">
        <v>174</v>
      </c>
      <c r="F119" s="47">
        <v>2000</v>
      </c>
      <c r="G119" s="49"/>
    </row>
    <row r="120" spans="1:7">
      <c r="A120" s="47" t="s">
        <v>848</v>
      </c>
      <c r="B120" s="47" t="s">
        <v>849</v>
      </c>
      <c r="C120" s="47">
        <f t="shared" si="7"/>
        <v>5490</v>
      </c>
      <c r="D120" s="47"/>
      <c r="E120" s="2" t="s">
        <v>174</v>
      </c>
      <c r="F120" s="47">
        <v>4000</v>
      </c>
      <c r="G120" s="49"/>
    </row>
    <row r="121" spans="1:7">
      <c r="A121" s="47" t="s">
        <v>835</v>
      </c>
      <c r="B121" s="47">
        <v>604</v>
      </c>
      <c r="C121" s="47">
        <f t="shared" si="7"/>
        <v>604</v>
      </c>
      <c r="D121" s="47"/>
      <c r="E121" s="2" t="s">
        <v>174</v>
      </c>
      <c r="F121" s="47">
        <v>4000</v>
      </c>
      <c r="G121" s="49"/>
    </row>
    <row r="122" spans="1:7">
      <c r="A122" s="47" t="s">
        <v>801</v>
      </c>
      <c r="B122" s="47">
        <v>64.900000000000006</v>
      </c>
      <c r="C122" s="47">
        <f t="shared" si="7"/>
        <v>64.900000000000006</v>
      </c>
      <c r="D122" s="47"/>
      <c r="E122" s="2" t="s">
        <v>174</v>
      </c>
      <c r="F122" s="47">
        <v>3000</v>
      </c>
      <c r="G122" s="49"/>
    </row>
    <row r="123" spans="1:7">
      <c r="A123" s="47" t="s">
        <v>801</v>
      </c>
      <c r="B123" s="47">
        <v>64.900000000000006</v>
      </c>
      <c r="C123" s="47">
        <f t="shared" si="7"/>
        <v>64.900000000000006</v>
      </c>
      <c r="D123" s="47"/>
      <c r="E123" s="2" t="s">
        <v>174</v>
      </c>
      <c r="F123" s="47">
        <v>4000</v>
      </c>
      <c r="G123" s="49"/>
    </row>
    <row r="124" spans="1:7">
      <c r="A124" s="47" t="s">
        <v>808</v>
      </c>
      <c r="B124" s="47">
        <v>68</v>
      </c>
      <c r="C124" s="47">
        <f t="shared" si="7"/>
        <v>68</v>
      </c>
      <c r="D124" s="47"/>
      <c r="E124" s="2" t="s">
        <v>174</v>
      </c>
      <c r="F124" s="47">
        <v>5000</v>
      </c>
      <c r="G124" s="49"/>
    </row>
    <row r="125" spans="1:7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  <c r="G125" s="49"/>
    </row>
    <row r="126" spans="1:7" ht="15.6">
      <c r="A126" s="52" t="s">
        <v>908</v>
      </c>
      <c r="B126" s="52" t="s">
        <v>909</v>
      </c>
      <c r="C126" s="47">
        <f t="shared" ref="C126:C150" si="8">IF(RIGHT(B126,1)="K",VALUE(LEFT(B126,LEN(B126)-1))*1000,VALUE(B126))</f>
        <v>78700</v>
      </c>
      <c r="D126" s="47"/>
      <c r="E126" s="53" t="s">
        <v>174</v>
      </c>
      <c r="F126" s="53" t="s">
        <v>917</v>
      </c>
      <c r="G126" s="49"/>
    </row>
    <row r="127" spans="1:7" ht="15.6">
      <c r="A127" s="52" t="s">
        <v>915</v>
      </c>
      <c r="B127" s="52" t="s">
        <v>916</v>
      </c>
      <c r="C127" s="47">
        <f t="shared" si="8"/>
        <v>820000</v>
      </c>
      <c r="D127" s="47"/>
      <c r="E127" s="53" t="s">
        <v>174</v>
      </c>
      <c r="F127" s="53" t="s">
        <v>917</v>
      </c>
      <c r="G127" s="49"/>
    </row>
    <row r="128" spans="1:7">
      <c r="A128" s="29" t="s">
        <v>368</v>
      </c>
      <c r="B128" s="29">
        <v>0</v>
      </c>
      <c r="C128" s="29">
        <f t="shared" si="8"/>
        <v>0</v>
      </c>
      <c r="D128" s="29"/>
      <c r="E128" s="28" t="s">
        <v>174</v>
      </c>
      <c r="F128" s="28"/>
      <c r="G128" s="49"/>
    </row>
    <row r="129" spans="1:7">
      <c r="A129" s="47" t="s">
        <v>810</v>
      </c>
      <c r="B129" s="47">
        <v>120</v>
      </c>
      <c r="C129" s="47">
        <f t="shared" si="8"/>
        <v>120</v>
      </c>
      <c r="D129" s="47"/>
      <c r="E129" s="2" t="s">
        <v>174</v>
      </c>
      <c r="F129" s="47">
        <v>4000</v>
      </c>
      <c r="G129" s="49"/>
    </row>
    <row r="130" spans="1:7">
      <c r="A130" s="47" t="s">
        <v>805</v>
      </c>
      <c r="B130" s="47">
        <v>15</v>
      </c>
      <c r="C130" s="47">
        <f t="shared" si="8"/>
        <v>15</v>
      </c>
      <c r="D130" s="47"/>
      <c r="E130" s="2" t="s">
        <v>174</v>
      </c>
      <c r="F130" s="47">
        <v>4000</v>
      </c>
      <c r="G130" s="49"/>
    </row>
    <row r="131" spans="1:7">
      <c r="A131" s="47" t="s">
        <v>783</v>
      </c>
      <c r="B131" s="47" t="s">
        <v>228</v>
      </c>
      <c r="C131" s="47">
        <f t="shared" si="8"/>
        <v>20000</v>
      </c>
      <c r="D131" s="47"/>
      <c r="E131" s="2" t="s">
        <v>174</v>
      </c>
      <c r="F131" s="47">
        <v>5000</v>
      </c>
      <c r="G131" s="49"/>
    </row>
    <row r="132" spans="1:7">
      <c r="A132" s="47" t="s">
        <v>796</v>
      </c>
      <c r="B132" s="47" t="s">
        <v>797</v>
      </c>
      <c r="C132" s="47">
        <f t="shared" si="8"/>
        <v>22000</v>
      </c>
      <c r="D132" s="47"/>
      <c r="E132" s="2" t="s">
        <v>174</v>
      </c>
      <c r="F132" s="47">
        <v>3000</v>
      </c>
      <c r="G132" s="49"/>
    </row>
    <row r="133" spans="1:7">
      <c r="A133" s="47" t="s">
        <v>824</v>
      </c>
      <c r="B133" s="47" t="s">
        <v>825</v>
      </c>
      <c r="C133" s="47">
        <f t="shared" si="8"/>
        <v>2200</v>
      </c>
      <c r="D133" s="47"/>
      <c r="E133" s="2" t="s">
        <v>174</v>
      </c>
      <c r="F133" s="47">
        <v>5000</v>
      </c>
      <c r="G133" s="49"/>
    </row>
    <row r="134" spans="1:7">
      <c r="A134" s="29" t="s">
        <v>752</v>
      </c>
      <c r="B134" s="29" t="s">
        <v>753</v>
      </c>
      <c r="C134" s="29">
        <f t="shared" si="8"/>
        <v>2700</v>
      </c>
      <c r="D134" s="29"/>
      <c r="E134" s="28" t="s">
        <v>174</v>
      </c>
      <c r="F134" s="28">
        <v>5000</v>
      </c>
      <c r="G134" s="49"/>
    </row>
    <row r="135" spans="1:7" s="39" customFormat="1" ht="15.6">
      <c r="A135" s="52" t="s">
        <v>899</v>
      </c>
      <c r="B135" s="52" t="s">
        <v>898</v>
      </c>
      <c r="C135" s="47">
        <f t="shared" si="8"/>
        <v>33000</v>
      </c>
      <c r="D135" s="47"/>
      <c r="E135" s="53" t="s">
        <v>174</v>
      </c>
      <c r="F135" s="53" t="s">
        <v>917</v>
      </c>
      <c r="G135" s="49"/>
    </row>
    <row r="136" spans="1:7" s="39" customFormat="1" ht="15.6">
      <c r="A136" s="52" t="s">
        <v>899</v>
      </c>
      <c r="B136" s="52" t="s">
        <v>898</v>
      </c>
      <c r="C136" s="47">
        <f t="shared" si="8"/>
        <v>33000</v>
      </c>
      <c r="D136" s="47"/>
      <c r="E136" s="53" t="s">
        <v>174</v>
      </c>
      <c r="F136" s="53" t="s">
        <v>917</v>
      </c>
      <c r="G136" s="49"/>
    </row>
    <row r="137" spans="1:7" s="39" customFormat="1">
      <c r="A137" s="47" t="s">
        <v>802</v>
      </c>
      <c r="B137" s="47">
        <v>33</v>
      </c>
      <c r="C137" s="47">
        <f t="shared" si="8"/>
        <v>33</v>
      </c>
      <c r="D137" s="47"/>
      <c r="E137" s="2" t="s">
        <v>174</v>
      </c>
      <c r="F137" s="47">
        <v>5000</v>
      </c>
      <c r="G137" s="49"/>
    </row>
    <row r="138" spans="1:7" s="39" customFormat="1">
      <c r="A138" s="47" t="s">
        <v>855</v>
      </c>
      <c r="B138" s="47" t="s">
        <v>280</v>
      </c>
      <c r="C138" s="47">
        <f t="shared" si="8"/>
        <v>3600</v>
      </c>
      <c r="D138" s="47"/>
      <c r="E138" s="2" t="s">
        <v>174</v>
      </c>
      <c r="F138" s="47">
        <v>4000</v>
      </c>
      <c r="G138" s="49"/>
    </row>
    <row r="139" spans="1:7" s="39" customFormat="1">
      <c r="A139" s="47" t="s">
        <v>804</v>
      </c>
      <c r="B139" s="47">
        <v>4.7</v>
      </c>
      <c r="C139" s="47">
        <f t="shared" si="8"/>
        <v>4.7</v>
      </c>
      <c r="D139" s="47"/>
      <c r="E139" s="2" t="s">
        <v>174</v>
      </c>
      <c r="F139" s="47">
        <v>4000</v>
      </c>
      <c r="G139" s="49"/>
    </row>
    <row r="140" spans="1:7" s="39" customFormat="1" ht="15.6">
      <c r="A140" s="52" t="s">
        <v>902</v>
      </c>
      <c r="B140" s="52" t="s">
        <v>903</v>
      </c>
      <c r="C140" s="47">
        <f t="shared" si="8"/>
        <v>51000</v>
      </c>
      <c r="D140" s="47"/>
      <c r="E140" s="53" t="s">
        <v>174</v>
      </c>
      <c r="F140" s="53" t="s">
        <v>917</v>
      </c>
      <c r="G140" s="49"/>
    </row>
    <row r="141" spans="1:7" s="39" customFormat="1" ht="15.6">
      <c r="A141" s="52" t="s">
        <v>902</v>
      </c>
      <c r="B141" s="52" t="s">
        <v>903</v>
      </c>
      <c r="C141" s="47">
        <f t="shared" si="8"/>
        <v>51000</v>
      </c>
      <c r="D141" s="47"/>
      <c r="E141" s="53" t="s">
        <v>174</v>
      </c>
      <c r="F141" s="53" t="s">
        <v>917</v>
      </c>
      <c r="G141" s="49"/>
    </row>
    <row r="142" spans="1:7" s="39" customFormat="1" ht="15.6">
      <c r="A142" s="52" t="s">
        <v>913</v>
      </c>
      <c r="B142" s="52" t="s">
        <v>914</v>
      </c>
      <c r="C142" s="47">
        <f t="shared" si="8"/>
        <v>560000</v>
      </c>
      <c r="D142" s="47"/>
      <c r="E142" s="53" t="s">
        <v>174</v>
      </c>
      <c r="F142" s="53" t="s">
        <v>917</v>
      </c>
      <c r="G142" s="49"/>
    </row>
    <row r="143" spans="1:7" s="39" customFormat="1" ht="15.6">
      <c r="A143" s="52" t="s">
        <v>904</v>
      </c>
      <c r="B143" s="52" t="s">
        <v>905</v>
      </c>
      <c r="C143" s="47">
        <f t="shared" si="8"/>
        <v>62000</v>
      </c>
      <c r="D143" s="47"/>
      <c r="E143" s="53" t="s">
        <v>174</v>
      </c>
      <c r="F143" s="53" t="s">
        <v>917</v>
      </c>
      <c r="G143" s="49"/>
    </row>
    <row r="144" spans="1:7" s="39" customFormat="1" ht="15.6">
      <c r="A144" s="52" t="s">
        <v>906</v>
      </c>
      <c r="B144" s="52" t="s">
        <v>907</v>
      </c>
      <c r="C144" s="47">
        <f t="shared" si="8"/>
        <v>75000</v>
      </c>
      <c r="D144" s="47"/>
      <c r="E144" s="53" t="s">
        <v>174</v>
      </c>
      <c r="F144" s="53" t="s">
        <v>917</v>
      </c>
      <c r="G144" s="49"/>
    </row>
    <row r="145" spans="1:7" s="39" customFormat="1" ht="15.6">
      <c r="A145" s="52" t="s">
        <v>906</v>
      </c>
      <c r="B145" s="52" t="s">
        <v>907</v>
      </c>
      <c r="C145" s="47">
        <f t="shared" si="8"/>
        <v>75000</v>
      </c>
      <c r="D145" s="47"/>
      <c r="E145" s="53" t="s">
        <v>174</v>
      </c>
      <c r="F145" s="53" t="s">
        <v>917</v>
      </c>
      <c r="G145" s="49"/>
    </row>
    <row r="146" spans="1:7" s="39" customFormat="1">
      <c r="A146" s="29" t="s">
        <v>369</v>
      </c>
      <c r="B146" s="29">
        <v>91</v>
      </c>
      <c r="C146" s="29">
        <f t="shared" si="8"/>
        <v>91</v>
      </c>
      <c r="D146" s="29"/>
      <c r="E146" s="28" t="s">
        <v>174</v>
      </c>
      <c r="F146" s="28"/>
      <c r="G146" s="49"/>
    </row>
    <row r="147" spans="1:7">
      <c r="A147" s="47" t="s">
        <v>762</v>
      </c>
      <c r="B147" s="47" t="s">
        <v>228</v>
      </c>
      <c r="C147" s="47">
        <f t="shared" si="8"/>
        <v>20000</v>
      </c>
      <c r="D147" s="47"/>
      <c r="E147" s="2" t="s">
        <v>178</v>
      </c>
      <c r="F147" s="47">
        <v>5000</v>
      </c>
      <c r="G147" s="49"/>
    </row>
    <row r="148" spans="1:7">
      <c r="A148" s="29" t="s">
        <v>744</v>
      </c>
      <c r="B148" s="29">
        <v>49</v>
      </c>
      <c r="C148" s="29">
        <f t="shared" si="8"/>
        <v>49</v>
      </c>
      <c r="D148" s="29"/>
      <c r="E148" s="28" t="s">
        <v>178</v>
      </c>
      <c r="F148" s="28">
        <v>2000</v>
      </c>
      <c r="G148" s="49"/>
    </row>
    <row r="149" spans="1:7">
      <c r="A149" s="47" t="s">
        <v>294</v>
      </c>
      <c r="B149" s="47">
        <v>15</v>
      </c>
      <c r="C149" s="47">
        <f t="shared" si="8"/>
        <v>15</v>
      </c>
      <c r="D149" s="47"/>
      <c r="E149" s="2" t="s">
        <v>178</v>
      </c>
      <c r="F149" s="2"/>
      <c r="G149" s="49"/>
    </row>
    <row r="150" spans="1:7">
      <c r="A150" s="29" t="s">
        <v>370</v>
      </c>
      <c r="B150" s="29">
        <v>165</v>
      </c>
      <c r="C150" s="29">
        <f t="shared" si="8"/>
        <v>165</v>
      </c>
      <c r="D150" s="29"/>
      <c r="E150" s="29">
        <v>1206</v>
      </c>
      <c r="F150" s="29"/>
      <c r="G150" s="49"/>
    </row>
    <row r="151" spans="1:7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  <c r="G151" s="49"/>
    </row>
    <row r="152" spans="1:7">
      <c r="A152" s="47" t="s">
        <v>296</v>
      </c>
      <c r="B152" s="47">
        <v>220</v>
      </c>
      <c r="C152" s="47">
        <f t="shared" ref="C152:C160" si="9">IF(RIGHT(B152,1)="K",VALUE(LEFT(B152,LEN(B152)-1))*1000,VALUE(B152))</f>
        <v>220</v>
      </c>
      <c r="D152" s="47"/>
      <c r="E152" s="2" t="s">
        <v>175</v>
      </c>
      <c r="F152" s="2"/>
      <c r="G152" s="49"/>
    </row>
    <row r="153" spans="1:7">
      <c r="A153" s="29" t="s">
        <v>385</v>
      </c>
      <c r="B153" s="29">
        <v>470</v>
      </c>
      <c r="C153" s="29">
        <f t="shared" si="9"/>
        <v>470</v>
      </c>
      <c r="D153" s="29"/>
      <c r="E153" s="29">
        <v>1206</v>
      </c>
      <c r="F153" s="29"/>
      <c r="G153" s="49"/>
    </row>
    <row r="154" spans="1:7">
      <c r="A154" s="29" t="s">
        <v>392</v>
      </c>
      <c r="B154" s="29">
        <v>60.4</v>
      </c>
      <c r="C154" s="29">
        <f t="shared" si="9"/>
        <v>60.4</v>
      </c>
      <c r="D154" s="29"/>
      <c r="E154" s="29">
        <v>1206</v>
      </c>
      <c r="F154" s="29"/>
      <c r="G154" s="49"/>
    </row>
    <row r="155" spans="1:7">
      <c r="A155" s="47" t="s">
        <v>392</v>
      </c>
      <c r="B155" s="47">
        <v>60.4</v>
      </c>
      <c r="C155" s="47">
        <f t="shared" si="9"/>
        <v>60.4</v>
      </c>
      <c r="D155" s="47"/>
      <c r="E155" s="47">
        <v>1206</v>
      </c>
      <c r="F155" s="47">
        <v>200</v>
      </c>
      <c r="G155" s="49"/>
    </row>
    <row r="156" spans="1:7">
      <c r="A156" s="47" t="s">
        <v>771</v>
      </c>
      <c r="B156" s="47">
        <v>30</v>
      </c>
      <c r="C156" s="47">
        <f t="shared" si="9"/>
        <v>30</v>
      </c>
      <c r="D156" s="47"/>
      <c r="E156" s="47">
        <v>1206</v>
      </c>
      <c r="F156" s="47">
        <v>5000</v>
      </c>
      <c r="G156" s="49"/>
    </row>
    <row r="157" spans="1:7">
      <c r="A157" s="47" t="s">
        <v>291</v>
      </c>
      <c r="B157" s="47">
        <v>51</v>
      </c>
      <c r="C157" s="47">
        <f t="shared" si="9"/>
        <v>51</v>
      </c>
      <c r="D157" s="47"/>
      <c r="E157" s="2" t="s">
        <v>174</v>
      </c>
      <c r="F157" s="2"/>
      <c r="G157" s="49"/>
    </row>
    <row r="158" spans="1:7">
      <c r="A158" s="47" t="s">
        <v>346</v>
      </c>
      <c r="B158" s="47" t="s">
        <v>347</v>
      </c>
      <c r="C158" s="47">
        <f t="shared" si="9"/>
        <v>95300</v>
      </c>
      <c r="D158" s="47"/>
      <c r="E158" s="2" t="s">
        <v>174</v>
      </c>
      <c r="F158" s="2"/>
      <c r="G158" s="49"/>
    </row>
    <row r="159" spans="1:7">
      <c r="A159" s="47" t="s">
        <v>806</v>
      </c>
      <c r="B159" s="47">
        <v>0</v>
      </c>
      <c r="C159" s="47">
        <f t="shared" si="9"/>
        <v>0</v>
      </c>
      <c r="D159" s="47"/>
      <c r="E159" s="2" t="s">
        <v>174</v>
      </c>
      <c r="F159" s="47">
        <v>3000</v>
      </c>
      <c r="G159" s="49"/>
    </row>
    <row r="160" spans="1:7">
      <c r="A160" s="47" t="s">
        <v>765</v>
      </c>
      <c r="B160" s="47" t="s">
        <v>293</v>
      </c>
      <c r="C160" s="47">
        <f t="shared" si="9"/>
        <v>10000</v>
      </c>
      <c r="D160" s="47"/>
      <c r="E160" s="2" t="s">
        <v>178</v>
      </c>
      <c r="F160" s="47">
        <v>1000</v>
      </c>
      <c r="G160" s="49"/>
    </row>
    <row r="161" spans="1:7">
      <c r="A161" s="29" t="s">
        <v>750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  <c r="G161" s="49"/>
    </row>
    <row r="162" spans="1:7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  <c r="G162" s="49"/>
    </row>
    <row r="163" spans="1:7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  <c r="G163" s="49"/>
    </row>
    <row r="164" spans="1:7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  <c r="G164" s="49"/>
    </row>
    <row r="165" spans="1:7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  <c r="G165" s="49"/>
    </row>
    <row r="166" spans="1:7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  <c r="G166" s="49"/>
    </row>
    <row r="167" spans="1:7">
      <c r="A167" s="47" t="s">
        <v>768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  <c r="G167" s="49"/>
    </row>
    <row r="168" spans="1:7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  <c r="G168" s="49"/>
    </row>
    <row r="169" spans="1:7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  <c r="G169" s="49"/>
    </row>
    <row r="170" spans="1:7">
      <c r="A170" s="41" t="s">
        <v>695</v>
      </c>
      <c r="B170" s="42" t="s">
        <v>696</v>
      </c>
      <c r="C170" s="43">
        <f>IF(RIGHT(B170,1)="K",VALUE(LEFT(B170,LEN(B170)-1))*1000,VALUE(B170))</f>
        <v>1000</v>
      </c>
      <c r="D170" s="43"/>
      <c r="E170" s="41" t="s">
        <v>688</v>
      </c>
      <c r="F170" s="42">
        <v>3000</v>
      </c>
      <c r="G170" s="49" t="s">
        <v>1000</v>
      </c>
    </row>
    <row r="171" spans="1:7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  <c r="G171" s="49"/>
    </row>
    <row r="172" spans="1:7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  <c r="G172" s="49"/>
    </row>
    <row r="173" spans="1:7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  <c r="G173" s="49"/>
    </row>
    <row r="174" spans="1:7">
      <c r="A174" s="41" t="s">
        <v>698</v>
      </c>
      <c r="B174" s="42" t="s">
        <v>696</v>
      </c>
      <c r="C174" s="43">
        <f>IF(RIGHT(B174,1)="K",VALUE(LEFT(B174,LEN(B174)-1))*1000,VALUE(B174))</f>
        <v>1000</v>
      </c>
      <c r="D174" s="43"/>
      <c r="E174" s="41" t="s">
        <v>688</v>
      </c>
      <c r="F174" s="42">
        <v>1000</v>
      </c>
      <c r="G174" s="49" t="s">
        <v>999</v>
      </c>
    </row>
    <row r="175" spans="1:7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  <c r="G175" s="49"/>
    </row>
    <row r="176" spans="1:7">
      <c r="A176" s="47" t="s">
        <v>834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  <c r="G176" s="49"/>
    </row>
    <row r="177" spans="1:7">
      <c r="A177" s="47" t="s">
        <v>834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  <c r="G177" s="49"/>
    </row>
    <row r="178" spans="1:7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  <c r="G178" s="49"/>
    </row>
    <row r="179" spans="1:7">
      <c r="A179" s="41" t="s">
        <v>694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688</v>
      </c>
      <c r="F179" s="42">
        <v>1000</v>
      </c>
      <c r="G179" s="49" t="s">
        <v>1000</v>
      </c>
    </row>
    <row r="180" spans="1:7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  <c r="G180" s="49"/>
    </row>
    <row r="181" spans="1:7">
      <c r="A181" s="47" t="s">
        <v>786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  <c r="G181" s="49"/>
    </row>
    <row r="182" spans="1:7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  <c r="G182" s="49"/>
    </row>
    <row r="183" spans="1:7">
      <c r="A183" s="29" t="s">
        <v>741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  <c r="G183" s="49"/>
    </row>
    <row r="184" spans="1:7">
      <c r="A184" s="47" t="s">
        <v>763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  <c r="G184" s="49"/>
    </row>
    <row r="185" spans="1:7">
      <c r="A185" s="29" t="s">
        <v>743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  <c r="G185" s="49"/>
    </row>
    <row r="186" spans="1:7">
      <c r="A186" s="29" t="s">
        <v>745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  <c r="G186" s="49"/>
    </row>
    <row r="187" spans="1:7">
      <c r="A187" s="47" t="s">
        <v>764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  <c r="G187" s="49"/>
    </row>
    <row r="188" spans="1:7">
      <c r="A188" s="29" t="s">
        <v>746</v>
      </c>
      <c r="B188" s="29" t="s">
        <v>739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  <c r="G188" s="49"/>
    </row>
    <row r="189" spans="1:7">
      <c r="A189" s="29" t="s">
        <v>742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  <c r="G189" s="49"/>
    </row>
    <row r="190" spans="1:7">
      <c r="A190" s="47" t="s">
        <v>784</v>
      </c>
      <c r="B190" s="47" t="s">
        <v>293</v>
      </c>
      <c r="C190" s="47">
        <f t="shared" ref="C190:C197" si="10">IF(RIGHT(B190,1)="K",VALUE(LEFT(B190,LEN(B190)-1))*1000,VALUE(B190))</f>
        <v>10000</v>
      </c>
      <c r="D190" s="47"/>
      <c r="E190" s="2" t="s">
        <v>174</v>
      </c>
      <c r="F190" s="47">
        <v>1000</v>
      </c>
      <c r="G190" s="49"/>
    </row>
    <row r="191" spans="1:7" ht="15.6">
      <c r="A191" s="52" t="s">
        <v>910</v>
      </c>
      <c r="B191" s="52" t="s">
        <v>911</v>
      </c>
      <c r="C191" s="47">
        <f t="shared" si="10"/>
        <v>100000</v>
      </c>
      <c r="D191" s="47"/>
      <c r="E191" s="53" t="s">
        <v>174</v>
      </c>
      <c r="F191" s="53" t="s">
        <v>917</v>
      </c>
      <c r="G191" s="49"/>
    </row>
    <row r="192" spans="1:7">
      <c r="A192" s="47" t="s">
        <v>787</v>
      </c>
      <c r="B192" s="47" t="s">
        <v>293</v>
      </c>
      <c r="C192" s="47">
        <f t="shared" si="10"/>
        <v>10000</v>
      </c>
      <c r="D192" s="47"/>
      <c r="E192" s="2" t="s">
        <v>174</v>
      </c>
      <c r="F192" s="47">
        <v>1000</v>
      </c>
      <c r="G192" s="49"/>
    </row>
    <row r="193" spans="1:7">
      <c r="A193" s="47" t="s">
        <v>785</v>
      </c>
      <c r="B193" s="47" t="s">
        <v>293</v>
      </c>
      <c r="C193" s="47">
        <f t="shared" si="10"/>
        <v>10000</v>
      </c>
      <c r="D193" s="47"/>
      <c r="E193" s="47">
        <v>1610</v>
      </c>
      <c r="F193" s="47">
        <v>1000</v>
      </c>
      <c r="G193" s="49"/>
    </row>
    <row r="194" spans="1:7">
      <c r="A194" s="47" t="s">
        <v>793</v>
      </c>
      <c r="B194" s="47" t="s">
        <v>228</v>
      </c>
      <c r="C194" s="47">
        <f t="shared" si="10"/>
        <v>20000</v>
      </c>
      <c r="D194" s="47"/>
      <c r="E194" s="2" t="s">
        <v>174</v>
      </c>
      <c r="F194" s="47">
        <v>3000</v>
      </c>
      <c r="G194" s="49"/>
    </row>
    <row r="195" spans="1:7">
      <c r="A195" s="47" t="s">
        <v>850</v>
      </c>
      <c r="B195" s="47" t="s">
        <v>851</v>
      </c>
      <c r="C195" s="47">
        <f t="shared" si="10"/>
        <v>6800</v>
      </c>
      <c r="D195" s="47"/>
      <c r="E195" s="2" t="s">
        <v>174</v>
      </c>
      <c r="F195" s="47">
        <v>4000</v>
      </c>
      <c r="G195" s="49"/>
    </row>
    <row r="196" spans="1:7">
      <c r="A196" s="47" t="s">
        <v>766</v>
      </c>
      <c r="B196" s="47" t="s">
        <v>767</v>
      </c>
      <c r="C196" s="47">
        <f t="shared" si="10"/>
        <v>470000</v>
      </c>
      <c r="D196" s="47"/>
      <c r="E196" s="2" t="s">
        <v>175</v>
      </c>
      <c r="F196" s="47">
        <v>4000</v>
      </c>
      <c r="G196" s="49"/>
    </row>
    <row r="197" spans="1:7">
      <c r="A197" s="47" t="s">
        <v>283</v>
      </c>
      <c r="B197" s="47">
        <v>113</v>
      </c>
      <c r="C197" s="47">
        <f t="shared" si="10"/>
        <v>113</v>
      </c>
      <c r="D197" s="47"/>
      <c r="E197" s="2" t="s">
        <v>175</v>
      </c>
      <c r="F197" s="2"/>
      <c r="G197" s="49"/>
    </row>
    <row r="198" spans="1:7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  <c r="G198" s="49"/>
    </row>
    <row r="199" spans="1:7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  <c r="G199" s="49"/>
    </row>
    <row r="200" spans="1:7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  <c r="G200" s="49"/>
    </row>
    <row r="201" spans="1:7">
      <c r="A201" s="29" t="s">
        <v>751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  <c r="G201" s="49"/>
    </row>
    <row r="202" spans="1:7" ht="15.6">
      <c r="A202" s="52" t="s">
        <v>890</v>
      </c>
      <c r="B202" s="52">
        <v>110</v>
      </c>
      <c r="C202" s="47">
        <f t="shared" ref="C202:C210" si="11">IF(RIGHT(B202,1)="K",VALUE(LEFT(B202,LEN(B202)-1))*1000,VALUE(B202))</f>
        <v>110</v>
      </c>
      <c r="D202" s="47"/>
      <c r="E202" s="53" t="s">
        <v>173</v>
      </c>
      <c r="F202" s="53" t="s">
        <v>921</v>
      </c>
      <c r="G202" s="49"/>
    </row>
    <row r="203" spans="1:7" ht="15.6">
      <c r="A203" s="52" t="s">
        <v>891</v>
      </c>
      <c r="B203" s="52">
        <v>255</v>
      </c>
      <c r="C203" s="47">
        <f t="shared" si="11"/>
        <v>255</v>
      </c>
      <c r="D203" s="47"/>
      <c r="E203" s="53" t="s">
        <v>173</v>
      </c>
      <c r="F203" s="53" t="s">
        <v>922</v>
      </c>
      <c r="G203" s="49"/>
    </row>
    <row r="204" spans="1:7">
      <c r="A204" s="29" t="s">
        <v>376</v>
      </c>
      <c r="B204" s="29">
        <v>287</v>
      </c>
      <c r="C204" s="29">
        <f t="shared" si="11"/>
        <v>287</v>
      </c>
      <c r="D204" s="29"/>
      <c r="E204" s="28" t="s">
        <v>173</v>
      </c>
      <c r="F204" s="28"/>
      <c r="G204" s="49"/>
    </row>
    <row r="205" spans="1:7">
      <c r="A205" s="47" t="s">
        <v>791</v>
      </c>
      <c r="B205" s="47" t="s">
        <v>228</v>
      </c>
      <c r="C205" s="47">
        <f t="shared" si="11"/>
        <v>20000</v>
      </c>
      <c r="D205" s="47"/>
      <c r="E205" s="2" t="s">
        <v>174</v>
      </c>
      <c r="F205" s="47">
        <v>200</v>
      </c>
      <c r="G205" s="49"/>
    </row>
    <row r="206" spans="1:7">
      <c r="A206" s="47" t="s">
        <v>794</v>
      </c>
      <c r="B206" s="47" t="s">
        <v>795</v>
      </c>
      <c r="C206" s="47">
        <f t="shared" si="11"/>
        <v>20500</v>
      </c>
      <c r="D206" s="47"/>
      <c r="E206" s="2" t="s">
        <v>174</v>
      </c>
      <c r="F206" s="47">
        <v>3000</v>
      </c>
      <c r="G206" s="49"/>
    </row>
    <row r="207" spans="1:7">
      <c r="A207" s="29" t="s">
        <v>738</v>
      </c>
      <c r="B207" s="29" t="s">
        <v>739</v>
      </c>
      <c r="C207" s="29">
        <f t="shared" si="11"/>
        <v>1000</v>
      </c>
      <c r="D207" s="29"/>
      <c r="E207" s="28" t="s">
        <v>178</v>
      </c>
      <c r="F207" s="28">
        <v>5000</v>
      </c>
      <c r="G207" s="49"/>
    </row>
    <row r="208" spans="1:7">
      <c r="A208" s="47" t="s">
        <v>760</v>
      </c>
      <c r="B208" s="47" t="s">
        <v>761</v>
      </c>
      <c r="C208" s="47">
        <f t="shared" si="11"/>
        <v>300000</v>
      </c>
      <c r="D208" s="47"/>
      <c r="E208" s="2" t="s">
        <v>178</v>
      </c>
      <c r="F208" s="47">
        <v>5000</v>
      </c>
      <c r="G208" s="49"/>
    </row>
    <row r="209" spans="1:7">
      <c r="A209" s="29" t="s">
        <v>740</v>
      </c>
      <c r="B209" s="29">
        <v>680</v>
      </c>
      <c r="C209" s="29">
        <f t="shared" si="11"/>
        <v>680</v>
      </c>
      <c r="D209" s="29"/>
      <c r="E209" s="28" t="s">
        <v>178</v>
      </c>
      <c r="F209" s="28">
        <v>5000</v>
      </c>
      <c r="G209" s="49" t="s">
        <v>996</v>
      </c>
    </row>
    <row r="210" spans="1:7">
      <c r="A210" s="47" t="s">
        <v>811</v>
      </c>
      <c r="B210" s="47">
        <v>150</v>
      </c>
      <c r="C210" s="47">
        <f t="shared" si="11"/>
        <v>150</v>
      </c>
      <c r="D210" s="47"/>
      <c r="E210" s="2" t="s">
        <v>174</v>
      </c>
      <c r="F210" s="47">
        <v>3000</v>
      </c>
      <c r="G210" s="49" t="s">
        <v>996</v>
      </c>
    </row>
    <row r="211" spans="1:7" ht="15.6">
      <c r="A211" s="58" t="s">
        <v>995</v>
      </c>
      <c r="B211" s="58">
        <v>16.5</v>
      </c>
      <c r="C211" s="49">
        <f>IF(RIGHT(B211,1)="K",VALUE(LEFT(B211,LEN(B211)-1))*1000,VALUE(B211))</f>
        <v>16.5</v>
      </c>
      <c r="D211" s="49"/>
      <c r="E211" s="60" t="s">
        <v>173</v>
      </c>
      <c r="F211" s="59" t="s">
        <v>919</v>
      </c>
      <c r="G211" s="49" t="s">
        <v>996</v>
      </c>
    </row>
    <row r="212" spans="1:7" ht="15.6">
      <c r="A212" s="58" t="s">
        <v>700</v>
      </c>
      <c r="B212" s="58">
        <v>0</v>
      </c>
      <c r="C212" s="49">
        <f>IF(RIGHT(B212,1)="K",VALUE(LEFT(B212,LEN(B212)-1))*1000,VALUE(B212))</f>
        <v>0</v>
      </c>
      <c r="D212" s="49"/>
      <c r="E212" s="60" t="s">
        <v>173</v>
      </c>
      <c r="F212" s="59" t="s">
        <v>917</v>
      </c>
      <c r="G212" s="49" t="s">
        <v>996</v>
      </c>
    </row>
    <row r="213" spans="1:7" ht="15.6">
      <c r="A213" s="58"/>
      <c r="B213" s="58"/>
      <c r="C213" s="49"/>
      <c r="D213" s="49"/>
      <c r="E213" s="59"/>
      <c r="F213" s="59"/>
      <c r="G213" s="49"/>
    </row>
    <row r="214" spans="1:7" ht="15.6">
      <c r="A214" s="58"/>
      <c r="B214" s="58"/>
      <c r="C214" s="49"/>
      <c r="D214" s="49"/>
      <c r="E214" s="59"/>
      <c r="F214" s="59"/>
      <c r="G214" s="49"/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G105"/>
  <sheetViews>
    <sheetView tabSelected="1" topLeftCell="A90" workbookViewId="0">
      <selection activeCell="C113" sqref="C113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7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539</v>
      </c>
      <c r="G1" s="24" t="s">
        <v>990</v>
      </c>
    </row>
    <row r="2" spans="1:7" s="47" customFormat="1">
      <c r="A2" s="19" t="s">
        <v>309</v>
      </c>
      <c r="B2" s="20" t="s">
        <v>502</v>
      </c>
      <c r="C2" s="20">
        <f t="shared" ref="C2:C24" si="0">IF(ISNUMBER(SEARCH("pF",B2)), VALUE(LEFT(B2,SEARCH("pF",B2)-1)),
 IF(ISNUMBER(SEARCH("nF",B2)), VALUE(LEFT(B2,SEARCH("nF",B2)-1))*1000,
 IF(ISNUMBER(SEARCH("uF",B2)), VALUE(LEFT(B2,SEARCH("uF",B2)-1))*1000000,"")))</f>
        <v>100000</v>
      </c>
      <c r="D2" s="20"/>
      <c r="E2" s="23" t="s">
        <v>173</v>
      </c>
      <c r="G2" s="18"/>
    </row>
    <row r="3" spans="1:7" s="47" customFormat="1">
      <c r="A3" s="18" t="s">
        <v>842</v>
      </c>
      <c r="B3" s="18" t="s">
        <v>843</v>
      </c>
      <c r="C3" s="18">
        <f t="shared" si="0"/>
        <v>1000</v>
      </c>
      <c r="D3" s="18"/>
      <c r="E3" s="21" t="s">
        <v>174</v>
      </c>
      <c r="F3" s="51">
        <v>5000</v>
      </c>
      <c r="G3" s="18"/>
    </row>
    <row r="4" spans="1:7" s="47" customFormat="1">
      <c r="A4" s="41" t="s">
        <v>689</v>
      </c>
      <c r="B4" s="42" t="s">
        <v>1002</v>
      </c>
      <c r="C4" s="45">
        <f t="shared" si="0"/>
        <v>10000</v>
      </c>
      <c r="D4" s="45"/>
      <c r="E4" s="41" t="s">
        <v>688</v>
      </c>
      <c r="F4" s="42">
        <v>800</v>
      </c>
      <c r="G4" s="18" t="s">
        <v>1001</v>
      </c>
    </row>
    <row r="5" spans="1:7" s="47" customFormat="1">
      <c r="A5" s="18" t="s">
        <v>821</v>
      </c>
      <c r="B5" s="18" t="s">
        <v>820</v>
      </c>
      <c r="C5" s="18">
        <f t="shared" si="0"/>
        <v>39</v>
      </c>
      <c r="D5" s="18"/>
      <c r="E5" s="21" t="s">
        <v>174</v>
      </c>
      <c r="F5" s="51">
        <v>100</v>
      </c>
      <c r="G5" s="18"/>
    </row>
    <row r="6" spans="1:7" s="47" customFormat="1">
      <c r="A6" s="19" t="s">
        <v>408</v>
      </c>
      <c r="B6" s="19" t="s">
        <v>503</v>
      </c>
      <c r="C6" s="20">
        <f t="shared" si="0"/>
        <v>47</v>
      </c>
      <c r="D6" s="19"/>
      <c r="E6" s="22">
        <v>603</v>
      </c>
      <c r="G6" s="18"/>
    </row>
    <row r="7" spans="1:7" s="47" customFormat="1">
      <c r="A7" s="18" t="s">
        <v>409</v>
      </c>
      <c r="B7" s="20" t="s">
        <v>504</v>
      </c>
      <c r="C7" s="20">
        <f t="shared" si="0"/>
        <v>68</v>
      </c>
      <c r="D7" s="23"/>
      <c r="E7" s="23">
        <v>603</v>
      </c>
      <c r="G7" s="18"/>
    </row>
    <row r="8" spans="1:7" s="47" customFormat="1">
      <c r="A8" s="19" t="s">
        <v>320</v>
      </c>
      <c r="B8" s="19" t="s">
        <v>505</v>
      </c>
      <c r="C8" s="20">
        <f t="shared" si="0"/>
        <v>10</v>
      </c>
      <c r="D8" s="19"/>
      <c r="E8" s="22">
        <v>805</v>
      </c>
      <c r="G8" s="18"/>
    </row>
    <row r="9" spans="1:7" s="47" customFormat="1">
      <c r="A9" s="18" t="s">
        <v>815</v>
      </c>
      <c r="B9" s="18" t="s">
        <v>321</v>
      </c>
      <c r="C9" s="18">
        <f t="shared" si="0"/>
        <v>10</v>
      </c>
      <c r="D9" s="18"/>
      <c r="E9" s="21" t="s">
        <v>174</v>
      </c>
      <c r="F9" s="51">
        <v>5000</v>
      </c>
      <c r="G9" s="18"/>
    </row>
    <row r="10" spans="1:7" s="47" customFormat="1">
      <c r="A10" s="19" t="s">
        <v>506</v>
      </c>
      <c r="B10" s="21" t="s">
        <v>507</v>
      </c>
      <c r="C10" s="20">
        <f t="shared" si="0"/>
        <v>0.2</v>
      </c>
      <c r="D10" s="21"/>
      <c r="E10" s="21" t="s">
        <v>174</v>
      </c>
      <c r="G10" s="18"/>
    </row>
    <row r="11" spans="1:7" s="47" customFormat="1">
      <c r="A11" s="19" t="s">
        <v>411</v>
      </c>
      <c r="B11" s="19" t="s">
        <v>508</v>
      </c>
      <c r="C11" s="20">
        <f t="shared" si="0"/>
        <v>0.3</v>
      </c>
      <c r="D11" s="19"/>
      <c r="E11" s="21" t="s">
        <v>174</v>
      </c>
      <c r="G11" s="18"/>
    </row>
    <row r="12" spans="1:7" s="47" customFormat="1">
      <c r="A12" s="19" t="s">
        <v>412</v>
      </c>
      <c r="B12" s="19" t="s">
        <v>509</v>
      </c>
      <c r="C12" s="20">
        <f t="shared" si="0"/>
        <v>0.9</v>
      </c>
      <c r="D12" s="19"/>
      <c r="E12" s="21" t="s">
        <v>174</v>
      </c>
      <c r="G12" s="18"/>
    </row>
    <row r="13" spans="1:7" s="47" customFormat="1">
      <c r="A13" s="18" t="s">
        <v>837</v>
      </c>
      <c r="B13" s="18" t="s">
        <v>307</v>
      </c>
      <c r="C13" s="18">
        <f t="shared" si="0"/>
        <v>100</v>
      </c>
      <c r="D13" s="18"/>
      <c r="E13" s="21" t="s">
        <v>174</v>
      </c>
      <c r="F13" s="51">
        <v>200</v>
      </c>
      <c r="G13" s="18"/>
    </row>
    <row r="14" spans="1:7" s="47" customFormat="1">
      <c r="A14" s="19" t="s">
        <v>399</v>
      </c>
      <c r="B14" s="20" t="s">
        <v>510</v>
      </c>
      <c r="C14" s="20">
        <f t="shared" si="0"/>
        <v>4.7</v>
      </c>
      <c r="D14" s="20"/>
      <c r="E14" s="23">
        <v>603</v>
      </c>
      <c r="G14" s="18"/>
    </row>
    <row r="15" spans="1:7" s="47" customFormat="1">
      <c r="A15" s="19" t="s">
        <v>310</v>
      </c>
      <c r="B15" s="19" t="s">
        <v>510</v>
      </c>
      <c r="C15" s="20">
        <f t="shared" si="0"/>
        <v>4.7</v>
      </c>
      <c r="D15" s="19"/>
      <c r="E15" s="22">
        <v>603</v>
      </c>
      <c r="G15" s="18"/>
    </row>
    <row r="16" spans="1:7" s="47" customFormat="1">
      <c r="A16" s="19" t="s">
        <v>413</v>
      </c>
      <c r="B16" s="19" t="s">
        <v>511</v>
      </c>
      <c r="C16" s="20">
        <f t="shared" si="0"/>
        <v>5.6</v>
      </c>
      <c r="D16" s="19"/>
      <c r="E16" s="21">
        <v>603</v>
      </c>
      <c r="G16" s="18"/>
    </row>
    <row r="17" spans="1:7" s="47" customFormat="1">
      <c r="A17" s="19" t="s">
        <v>404</v>
      </c>
      <c r="B17" s="19" t="s">
        <v>512</v>
      </c>
      <c r="C17" s="20">
        <f t="shared" si="0"/>
        <v>6.8</v>
      </c>
      <c r="D17" s="19"/>
      <c r="E17" s="21">
        <v>603</v>
      </c>
      <c r="G17" s="18"/>
    </row>
    <row r="18" spans="1:7" s="47" customFormat="1">
      <c r="A18" s="18" t="s">
        <v>781</v>
      </c>
      <c r="B18" s="18" t="s">
        <v>782</v>
      </c>
      <c r="C18" s="18">
        <f t="shared" si="0"/>
        <v>100000</v>
      </c>
      <c r="D18" s="18"/>
      <c r="E18" s="21" t="s">
        <v>178</v>
      </c>
      <c r="F18" s="51">
        <v>4000</v>
      </c>
      <c r="G18" s="18"/>
    </row>
    <row r="19" spans="1:7" s="47" customFormat="1">
      <c r="A19" s="18" t="s">
        <v>772</v>
      </c>
      <c r="B19" s="18" t="s">
        <v>773</v>
      </c>
      <c r="C19" s="18">
        <f t="shared" si="0"/>
        <v>2200000</v>
      </c>
      <c r="D19" s="18"/>
      <c r="E19" s="21" t="s">
        <v>178</v>
      </c>
      <c r="F19" s="51">
        <v>1000</v>
      </c>
      <c r="G19" s="18"/>
    </row>
    <row r="20" spans="1:7" s="47" customFormat="1">
      <c r="A20" s="54" t="s">
        <v>926</v>
      </c>
      <c r="B20" s="54" t="s">
        <v>940</v>
      </c>
      <c r="C20" s="18">
        <f t="shared" si="0"/>
        <v>10</v>
      </c>
      <c r="D20" s="18"/>
      <c r="E20" s="54" t="s">
        <v>947</v>
      </c>
      <c r="F20" s="54" t="s">
        <v>951</v>
      </c>
      <c r="G20" s="18"/>
    </row>
    <row r="21" spans="1:7" s="47" customFormat="1">
      <c r="A21" s="54" t="s">
        <v>926</v>
      </c>
      <c r="B21" s="54" t="s">
        <v>940</v>
      </c>
      <c r="C21" s="18">
        <f t="shared" si="0"/>
        <v>10</v>
      </c>
      <c r="D21" s="18"/>
      <c r="E21" s="54" t="s">
        <v>947</v>
      </c>
      <c r="F21" s="54" t="s">
        <v>952</v>
      </c>
      <c r="G21" s="18"/>
    </row>
    <row r="22" spans="1:7" s="47" customFormat="1">
      <c r="A22" s="54" t="s">
        <v>923</v>
      </c>
      <c r="B22" s="54" t="s">
        <v>938</v>
      </c>
      <c r="C22" s="18">
        <f t="shared" si="0"/>
        <v>2</v>
      </c>
      <c r="D22" s="18"/>
      <c r="E22" s="54" t="s">
        <v>947</v>
      </c>
      <c r="F22" s="54" t="s">
        <v>948</v>
      </c>
      <c r="G22" s="18"/>
    </row>
    <row r="23" spans="1:7" s="47" customFormat="1">
      <c r="A23" s="54" t="s">
        <v>923</v>
      </c>
      <c r="B23" s="54" t="s">
        <v>938</v>
      </c>
      <c r="C23" s="18">
        <f t="shared" si="0"/>
        <v>2</v>
      </c>
      <c r="D23" s="18"/>
      <c r="E23" s="54" t="s">
        <v>947</v>
      </c>
      <c r="F23" s="54" t="s">
        <v>949</v>
      </c>
      <c r="G23" s="18"/>
    </row>
    <row r="24" spans="1:7" s="47" customFormat="1">
      <c r="A24" s="18" t="s">
        <v>777</v>
      </c>
      <c r="B24" s="18" t="s">
        <v>778</v>
      </c>
      <c r="C24" s="18">
        <f t="shared" si="0"/>
        <v>27</v>
      </c>
      <c r="D24" s="18"/>
      <c r="E24" s="21" t="s">
        <v>178</v>
      </c>
      <c r="F24" s="51">
        <v>4000</v>
      </c>
      <c r="G24" s="18"/>
    </row>
    <row r="25" spans="1:7" s="47" customFormat="1">
      <c r="A25" s="41" t="s">
        <v>1004</v>
      </c>
      <c r="B25" s="42" t="s">
        <v>692</v>
      </c>
      <c r="C25" s="45">
        <f>IF(ISNUMBER(SEARCH("pF",B25)), VALUE(LEFT(B25,SEARCH("pF",B25)-1)),
 IF(ISNUMBER(SEARCH("nF",B25)), VALUE(LEFT(B25,SEARCH("nF",B25)-1))*1000,
 IF(ISNUMBER(SEARCH("uF",B25)), VALUE(LEFT(B25,SEARCH("uF",B25)-1))*1000000,"")))</f>
        <v>100000</v>
      </c>
      <c r="D25" s="45"/>
      <c r="E25" s="41" t="s">
        <v>688</v>
      </c>
      <c r="F25" s="42">
        <v>300</v>
      </c>
      <c r="G25" s="18" t="s">
        <v>1001</v>
      </c>
    </row>
    <row r="26" spans="1:7" s="47" customFormat="1">
      <c r="A26" s="19" t="s">
        <v>304</v>
      </c>
      <c r="B26" s="20" t="s">
        <v>513</v>
      </c>
      <c r="C26" s="20">
        <f>IF(ISNUMBER(SEARCH("pF",B26)), VALUE(LEFT(B26,SEARCH("pF",B26)-1)),
 IF(ISNUMBER(SEARCH("nF",B26)), VALUE(LEFT(B26,SEARCH("nF",B26)-1))*1000,
 IF(ISNUMBER(SEARCH("µF",B26)), VALUE(LEFT(B26,SEARCH("µF",B26)-1))*1000000,"")))</f>
        <v>3</v>
      </c>
      <c r="D26" s="20"/>
      <c r="E26" s="23">
        <v>402</v>
      </c>
      <c r="G26" s="18"/>
    </row>
    <row r="27" spans="1:7" s="47" customFormat="1">
      <c r="A27" s="19" t="s">
        <v>300</v>
      </c>
      <c r="B27" s="19" t="s">
        <v>14</v>
      </c>
      <c r="C27" s="20">
        <f>IF(ISNUMBER(SEARCH("pF",B27)), VALUE(LEFT(B27,SEARCH("pF",B27)-1)),
 IF(ISNUMBER(SEARCH("nF",B27)), VALUE(LEFT(B27,SEARCH("nF",B27)-1))*1000,
 IF(ISNUMBER(SEARCH("µF",B27)), VALUE(LEFT(B27,SEARCH("µF",B27)-1))*1000000,"")))</f>
        <v>100</v>
      </c>
      <c r="D27" s="19"/>
      <c r="E27" s="21" t="s">
        <v>173</v>
      </c>
      <c r="G27" s="18"/>
    </row>
    <row r="28" spans="1:7" s="47" customFormat="1">
      <c r="A28" s="18" t="s">
        <v>813</v>
      </c>
      <c r="B28" s="18" t="s">
        <v>321</v>
      </c>
      <c r="C28" s="18">
        <f>IF(ISNUMBER(SEARCH("pF",B28)), VALUE(LEFT(B28,SEARCH("pF",B28)-1)),
 IF(ISNUMBER(SEARCH("nF",B28)), VALUE(LEFT(B28,SEARCH("nF",B28)-1))*1000,
 IF(ISNUMBER(SEARCH("uF",B28)), VALUE(LEFT(B28,SEARCH("uF",B28)-1))*1000000,"")))</f>
        <v>10</v>
      </c>
      <c r="D28" s="18"/>
      <c r="E28" s="21" t="s">
        <v>174</v>
      </c>
      <c r="F28" s="51">
        <v>5000</v>
      </c>
      <c r="G28" s="18"/>
    </row>
    <row r="29" spans="1:7" s="47" customFormat="1">
      <c r="A29" s="45" t="s">
        <v>703</v>
      </c>
      <c r="B29" s="45" t="s">
        <v>704</v>
      </c>
      <c r="C29" s="45">
        <f>IF(ISNUMBER(SEARCH("pF",B29)), VALUE(LEFT(B29,SEARCH("pF",B29)-1)),
 IF(ISNUMBER(SEARCH("nF",B29)), VALUE(LEFT(B29,SEARCH("nF",B29)-1))*1000,
 IF(ISNUMBER(SEARCH("uF",B29)), VALUE(LEFT(B29,SEARCH("uF",B29)-1))*1000000,"")))</f>
        <v>10000</v>
      </c>
      <c r="D29" s="45"/>
      <c r="E29" s="46" t="s">
        <v>174</v>
      </c>
      <c r="F29" s="42">
        <v>200</v>
      </c>
      <c r="G29" s="18"/>
    </row>
    <row r="30" spans="1:7" s="47" customFormat="1">
      <c r="A30" s="19" t="s">
        <v>406</v>
      </c>
      <c r="B30" s="19" t="s">
        <v>514</v>
      </c>
      <c r="C30" s="20">
        <f>IF(ISNUMBER(SEARCH("pF",B30)), VALUE(LEFT(B30,SEARCH("pF",B30)-1)),
 IF(ISNUMBER(SEARCH("nF",B30)), VALUE(LEFT(B30,SEARCH("nF",B30)-1))*1000,
 IF(ISNUMBER(SEARCH("µF",B30)), VALUE(LEFT(B30,SEARCH("µF",B30)-1))*1000000,"")))</f>
        <v>56</v>
      </c>
      <c r="D30" s="19"/>
      <c r="E30" s="21" t="s">
        <v>174</v>
      </c>
      <c r="G30" s="18"/>
    </row>
    <row r="31" spans="1:7" s="47" customFormat="1">
      <c r="A31" s="19" t="s">
        <v>407</v>
      </c>
      <c r="B31" s="19" t="s">
        <v>511</v>
      </c>
      <c r="C31" s="20">
        <f>IF(ISNUMBER(SEARCH("pF",B31)), VALUE(LEFT(B31,SEARCH("pF",B31)-1)),
 IF(ISNUMBER(SEARCH("nF",B31)), VALUE(LEFT(B31,SEARCH("nF",B31)-1))*1000,
 IF(ISNUMBER(SEARCH("µF",B31)), VALUE(LEFT(B31,SEARCH("µF",B31)-1))*1000000,"")))</f>
        <v>5.6</v>
      </c>
      <c r="D31" s="19"/>
      <c r="E31" s="22" t="s">
        <v>174</v>
      </c>
      <c r="G31" s="18"/>
    </row>
    <row r="32" spans="1:7" s="47" customFormat="1">
      <c r="A32" s="18" t="s">
        <v>779</v>
      </c>
      <c r="B32" s="18" t="s">
        <v>780</v>
      </c>
      <c r="C32" s="18">
        <f>IF(ISNUMBER(SEARCH("pF",B32)), VALUE(LEFT(B32,SEARCH("pF",B32)-1)),
 IF(ISNUMBER(SEARCH("nF",B32)), VALUE(LEFT(B32,SEARCH("nF",B32)-1))*1000,
 IF(ISNUMBER(SEARCH("uF",B32)), VALUE(LEFT(B32,SEARCH("uF",B32)-1))*1000000,"")))</f>
        <v>10000</v>
      </c>
      <c r="D32" s="18"/>
      <c r="E32" s="21" t="s">
        <v>178</v>
      </c>
      <c r="F32" s="51">
        <v>5000</v>
      </c>
      <c r="G32" s="18"/>
    </row>
    <row r="33" spans="1:7" s="47" customFormat="1">
      <c r="A33" s="19" t="s">
        <v>332</v>
      </c>
      <c r="B33" s="20" t="s">
        <v>515</v>
      </c>
      <c r="C33" s="20">
        <f>IF(ISNUMBER(SEARCH("pF",B33)), VALUE(LEFT(B33,SEARCH("pF",B33)-1)),
 IF(ISNUMBER(SEARCH("nF",B33)), VALUE(LEFT(B33,SEARCH("nF",B33)-1))*1000,
 IF(ISNUMBER(SEARCH("µF",B33)), VALUE(LEFT(B33,SEARCH("µF",B33)-1))*1000000,"")))</f>
        <v>1000000</v>
      </c>
      <c r="D33" s="20"/>
      <c r="E33" s="23" t="s">
        <v>178</v>
      </c>
      <c r="G33" s="18"/>
    </row>
    <row r="34" spans="1:7" s="47" customFormat="1">
      <c r="A34" s="19" t="s">
        <v>323</v>
      </c>
      <c r="B34" s="19" t="s">
        <v>516</v>
      </c>
      <c r="C34" s="20">
        <f>IF(ISNUMBER(SEARCH("pF",B34)), VALUE(LEFT(B34,SEARCH("pF",B34)-1)),
 IF(ISNUMBER(SEARCH("nF",B34)), VALUE(LEFT(B34,SEARCH("nF",B34)-1))*1000,
 IF(ISNUMBER(SEARCH("µF",B34)), VALUE(LEFT(B34,SEARCH("µF",B34)-1))*1000000,"")))</f>
        <v>820</v>
      </c>
      <c r="D34" s="19"/>
      <c r="E34" s="21" t="s">
        <v>178</v>
      </c>
      <c r="G34" s="18"/>
    </row>
    <row r="35" spans="1:7" s="47" customFormat="1">
      <c r="A35" s="54" t="s">
        <v>937</v>
      </c>
      <c r="B35" s="54" t="s">
        <v>946</v>
      </c>
      <c r="C35" s="18">
        <f t="shared" ref="C35:C41" si="1">IF(ISNUMBER(SEARCH("pF",B35)), VALUE(LEFT(B35,SEARCH("pF",B35)-1)),
 IF(ISNUMBER(SEARCH("nF",B35)), VALUE(LEFT(B35,SEARCH("nF",B35)-1))*1000,
 IF(ISNUMBER(SEARCH("uF",B35)), VALUE(LEFT(B35,SEARCH("uF",B35)-1))*1000000,"")))</f>
        <v>4700000</v>
      </c>
      <c r="D35" s="18"/>
      <c r="E35" s="54" t="s">
        <v>947</v>
      </c>
      <c r="F35" s="54" t="s">
        <v>952</v>
      </c>
      <c r="G35" s="18"/>
    </row>
    <row r="36" spans="1:7" s="47" customFormat="1">
      <c r="A36" s="54" t="s">
        <v>933</v>
      </c>
      <c r="B36" s="54" t="s">
        <v>943</v>
      </c>
      <c r="C36" s="18">
        <f t="shared" si="1"/>
        <v>10000</v>
      </c>
      <c r="D36" s="18"/>
      <c r="E36" s="54" t="s">
        <v>947</v>
      </c>
      <c r="F36" s="54" t="s">
        <v>950</v>
      </c>
      <c r="G36" s="18"/>
    </row>
    <row r="37" spans="1:7" s="47" customFormat="1">
      <c r="A37" s="45" t="s">
        <v>699</v>
      </c>
      <c r="B37" s="45" t="s">
        <v>692</v>
      </c>
      <c r="C37" s="45">
        <f t="shared" si="1"/>
        <v>100000</v>
      </c>
      <c r="D37" s="45"/>
      <c r="E37" s="46" t="s">
        <v>173</v>
      </c>
      <c r="F37" s="42">
        <v>100</v>
      </c>
      <c r="G37" s="18"/>
    </row>
    <row r="38" spans="1:7" s="47" customFormat="1">
      <c r="A38" s="18" t="s">
        <v>812</v>
      </c>
      <c r="B38" s="18" t="s">
        <v>321</v>
      </c>
      <c r="C38" s="18">
        <f t="shared" si="1"/>
        <v>10</v>
      </c>
      <c r="D38" s="18"/>
      <c r="E38" s="21" t="s">
        <v>174</v>
      </c>
      <c r="F38" s="51">
        <v>5000</v>
      </c>
      <c r="G38" s="18"/>
    </row>
    <row r="39" spans="1:7" s="47" customFormat="1">
      <c r="A39" s="18" t="s">
        <v>816</v>
      </c>
      <c r="B39" s="18" t="s">
        <v>817</v>
      </c>
      <c r="C39" s="18">
        <f t="shared" si="1"/>
        <v>15</v>
      </c>
      <c r="D39" s="18"/>
      <c r="E39" s="21" t="s">
        <v>174</v>
      </c>
      <c r="F39" s="51">
        <v>1000</v>
      </c>
      <c r="G39" s="18"/>
    </row>
    <row r="40" spans="1:7" s="47" customFormat="1">
      <c r="A40" s="18" t="s">
        <v>816</v>
      </c>
      <c r="B40" s="18" t="s">
        <v>817</v>
      </c>
      <c r="C40" s="18">
        <f t="shared" si="1"/>
        <v>15</v>
      </c>
      <c r="D40" s="18"/>
      <c r="E40" s="21" t="s">
        <v>174</v>
      </c>
      <c r="F40" s="51">
        <v>300</v>
      </c>
      <c r="G40" s="18"/>
    </row>
    <row r="41" spans="1:7" s="47" customFormat="1">
      <c r="A41" s="18" t="s">
        <v>818</v>
      </c>
      <c r="B41" s="18" t="s">
        <v>179</v>
      </c>
      <c r="C41" s="18">
        <f t="shared" si="1"/>
        <v>22</v>
      </c>
      <c r="D41" s="18"/>
      <c r="E41" s="21" t="s">
        <v>174</v>
      </c>
      <c r="F41" s="51">
        <v>3000</v>
      </c>
      <c r="G41" s="18"/>
    </row>
    <row r="42" spans="1:7" s="47" customFormat="1">
      <c r="A42" s="19" t="s">
        <v>517</v>
      </c>
      <c r="B42" s="19" t="s">
        <v>518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10000000</v>
      </c>
      <c r="D42" s="19" t="s">
        <v>992</v>
      </c>
      <c r="E42" s="21" t="s">
        <v>174</v>
      </c>
      <c r="F42" s="47">
        <v>100</v>
      </c>
      <c r="G42" s="18"/>
    </row>
    <row r="43" spans="1:7" s="47" customFormat="1">
      <c r="A43" s="41" t="s">
        <v>687</v>
      </c>
      <c r="B43" s="42" t="s">
        <v>692</v>
      </c>
      <c r="C43" s="45">
        <f>IF(ISNUMBER(SEARCH("pF",B43)), VALUE(LEFT(B43,SEARCH("pF",B43)-1)),
 IF(ISNUMBER(SEARCH("nF",B43)), VALUE(LEFT(B43,SEARCH("nF",B43)-1))*1000,
 IF(ISNUMBER(SEARCH("uF",B43)), VALUE(LEFT(B43,SEARCH("uF",B43)-1))*1000000,"")))</f>
        <v>100000</v>
      </c>
      <c r="D43" s="45"/>
      <c r="E43" s="41" t="s">
        <v>688</v>
      </c>
      <c r="F43" s="42">
        <v>200</v>
      </c>
      <c r="G43" s="18" t="s">
        <v>1001</v>
      </c>
    </row>
    <row r="44" spans="1:7" s="47" customFormat="1">
      <c r="A44" s="19" t="s">
        <v>322</v>
      </c>
      <c r="B44" s="19" t="s">
        <v>519</v>
      </c>
      <c r="C44" s="20">
        <f>IF(ISNUMBER(SEARCH("pF",B44)), VALUE(LEFT(B44,SEARCH("pF",B44)-1)),
 IF(ISNUMBER(SEARCH("nF",B44)), VALUE(LEFT(B44,SEARCH("nF",B44)-1))*1000,
 IF(ISNUMBER(SEARCH("µF",B44)), VALUE(LEFT(B44,SEARCH("µF",B44)-1))*1000000,"")))</f>
        <v>15000000</v>
      </c>
      <c r="D44" s="19"/>
      <c r="E44" s="21" t="s">
        <v>178</v>
      </c>
      <c r="G44" s="18"/>
    </row>
    <row r="45" spans="1:7" s="47" customFormat="1">
      <c r="A45" s="19" t="s">
        <v>311</v>
      </c>
      <c r="B45" s="19" t="s">
        <v>520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33000000</v>
      </c>
      <c r="D45" s="19"/>
      <c r="E45" s="22">
        <v>1206</v>
      </c>
      <c r="G45" s="18"/>
    </row>
    <row r="46" spans="1:7" s="47" customFormat="1">
      <c r="A46" s="19" t="s">
        <v>315</v>
      </c>
      <c r="B46" s="19" t="s">
        <v>521</v>
      </c>
      <c r="C46" s="20">
        <f>IF(ISNUMBER(SEARCH("pF",B46)), VALUE(LEFT(B46,SEARCH("pF",B46)-1)),
 IF(ISNUMBER(SEARCH("nF",B46)), VALUE(LEFT(B46,SEARCH("nF",B46)-1))*1000,
 IF(ISNUMBER(SEARCH("µF",B46)), VALUE(LEFT(B46,SEARCH("µF",B46)-1))*1000000,"")))</f>
        <v>47000000</v>
      </c>
      <c r="D46" s="19"/>
      <c r="E46" s="21">
        <v>1206</v>
      </c>
      <c r="G46" s="18"/>
    </row>
    <row r="47" spans="1:7" s="47" customFormat="1">
      <c r="A47" s="54" t="s">
        <v>925</v>
      </c>
      <c r="B47" s="54" t="s">
        <v>940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</v>
      </c>
      <c r="D47" s="18"/>
      <c r="E47" s="54" t="s">
        <v>947</v>
      </c>
      <c r="F47" s="54" t="s">
        <v>950</v>
      </c>
      <c r="G47" s="18"/>
    </row>
    <row r="48" spans="1:7" s="47" customFormat="1">
      <c r="A48" s="54" t="s">
        <v>927</v>
      </c>
      <c r="B48" s="54" t="s">
        <v>941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18</v>
      </c>
      <c r="D48" s="18"/>
      <c r="E48" s="54" t="s">
        <v>947</v>
      </c>
      <c r="F48" s="54" t="s">
        <v>952</v>
      </c>
      <c r="G48" s="18"/>
    </row>
    <row r="49" spans="1:7" s="47" customFormat="1">
      <c r="A49" s="54" t="s">
        <v>930</v>
      </c>
      <c r="B49" s="54" t="s">
        <v>301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100</v>
      </c>
      <c r="D49" s="18"/>
      <c r="E49" s="54" t="s">
        <v>947</v>
      </c>
      <c r="F49" s="54" t="s">
        <v>949</v>
      </c>
      <c r="G49" s="18"/>
    </row>
    <row r="50" spans="1:7" s="47" customFormat="1">
      <c r="A50" s="54" t="s">
        <v>931</v>
      </c>
      <c r="B50" s="54" t="s">
        <v>942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1000</v>
      </c>
      <c r="D50" s="18"/>
      <c r="E50" s="54" t="s">
        <v>947</v>
      </c>
      <c r="F50" s="54" t="s">
        <v>950</v>
      </c>
      <c r="G50" s="18"/>
    </row>
    <row r="51" spans="1:7" s="47" customFormat="1">
      <c r="A51" s="54" t="s">
        <v>934</v>
      </c>
      <c r="B51" s="54" t="s">
        <v>943</v>
      </c>
      <c r="C51" s="18">
        <f>IF(ISNUMBER(SEARCH("pF",B51)), VALUE(LEFT(B51,SEARCH("pF",B51)-1)),
 IF(ISNUMBER(SEARCH("nF",B51)), VALUE(LEFT(B51,SEARCH("nF",B51)-1))*1000,
 IF(ISNUMBER(SEARCH("uF",B51)), VALUE(LEFT(B51,SEARCH("uF",B51)-1))*1000000,"")))</f>
        <v>10000</v>
      </c>
      <c r="D51" s="18"/>
      <c r="E51" s="54" t="s">
        <v>947</v>
      </c>
      <c r="F51" s="54" t="s">
        <v>949</v>
      </c>
      <c r="G51" s="18"/>
    </row>
    <row r="52" spans="1:7" s="47" customFormat="1">
      <c r="A52" s="19" t="s">
        <v>403</v>
      </c>
      <c r="B52" s="19" t="s">
        <v>504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68</v>
      </c>
      <c r="D52" s="19"/>
      <c r="E52" s="21">
        <v>603</v>
      </c>
      <c r="G52" s="18"/>
    </row>
    <row r="53" spans="1:7" s="47" customFormat="1">
      <c r="A53" s="19" t="s">
        <v>410</v>
      </c>
      <c r="B53" s="19" t="s">
        <v>522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500</v>
      </c>
      <c r="D53" s="19"/>
      <c r="E53" s="21" t="s">
        <v>174</v>
      </c>
      <c r="G53" s="18"/>
    </row>
    <row r="54" spans="1:7" s="47" customFormat="1">
      <c r="A54" s="20" t="s">
        <v>705</v>
      </c>
      <c r="B54" s="20" t="s">
        <v>706</v>
      </c>
      <c r="C54" s="20">
        <f>IF(ISNUMBER(SEARCH("pF",B54)), VALUE(LEFT(B54,SEARCH("pF",B54)-1)),
 IF(ISNUMBER(SEARCH("nF",B54)), VALUE(LEFT(B54,SEARCH("nF",B54)-1))*1000,
 IF(ISNUMBER(SEARCH("uF",B54)), VALUE(LEFT(B54,SEARCH("uF",B54)-1))*1000000,"")))</f>
        <v>1000000</v>
      </c>
      <c r="D54" s="20"/>
      <c r="E54" s="23" t="s">
        <v>174</v>
      </c>
      <c r="F54" s="51">
        <v>500</v>
      </c>
      <c r="G54" s="20"/>
    </row>
    <row r="55" spans="1:7" s="47" customFormat="1">
      <c r="A55" s="18" t="s">
        <v>705</v>
      </c>
      <c r="B55" s="18" t="s">
        <v>706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1000000</v>
      </c>
      <c r="D55" s="18"/>
      <c r="E55" s="21" t="s">
        <v>174</v>
      </c>
      <c r="F55" s="51">
        <v>300</v>
      </c>
      <c r="G55" s="18"/>
    </row>
    <row r="56" spans="1:7" s="47" customFormat="1">
      <c r="A56" s="19" t="s">
        <v>523</v>
      </c>
      <c r="B56" s="20" t="s">
        <v>524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22000000</v>
      </c>
      <c r="D56" s="20"/>
      <c r="E56" s="23">
        <v>1206</v>
      </c>
      <c r="G56" s="18"/>
    </row>
    <row r="57" spans="1:7" s="47" customFormat="1">
      <c r="A57" s="54" t="s">
        <v>932</v>
      </c>
      <c r="B57" s="54" t="s">
        <v>943</v>
      </c>
      <c r="C57" s="18">
        <f>IF(ISNUMBER(SEARCH("pF",B57)), VALUE(LEFT(B57,SEARCH("pF",B57)-1)),
 IF(ISNUMBER(SEARCH("nF",B57)), VALUE(LEFT(B57,SEARCH("nF",B57)-1))*1000,
 IF(ISNUMBER(SEARCH("uF",B57)), VALUE(LEFT(B57,SEARCH("uF",B57)-1))*1000000,"")))</f>
        <v>10000</v>
      </c>
      <c r="D57" s="18"/>
      <c r="E57" s="54" t="s">
        <v>947</v>
      </c>
      <c r="F57" s="54" t="s">
        <v>952</v>
      </c>
      <c r="G57" s="18"/>
    </row>
    <row r="58" spans="1:7" s="47" customFormat="1">
      <c r="A58" s="54" t="s">
        <v>936</v>
      </c>
      <c r="B58" s="54" t="s">
        <v>945</v>
      </c>
      <c r="C58" s="18">
        <f>IF(ISNUMBER(SEARCH("pF",B58)), VALUE(LEFT(B58,SEARCH("pF",B58)-1)),
 IF(ISNUMBER(SEARCH("nF",B58)), VALUE(LEFT(B58,SEARCH("nF",B58)-1))*1000,
 IF(ISNUMBER(SEARCH("uF",B58)), VALUE(LEFT(B58,SEARCH("uF",B58)-1))*1000000,"")))</f>
        <v>1000000</v>
      </c>
      <c r="D58" s="18"/>
      <c r="E58" s="54" t="s">
        <v>947</v>
      </c>
      <c r="F58" s="54" t="s">
        <v>952</v>
      </c>
      <c r="G58" s="18"/>
    </row>
    <row r="59" spans="1:7" s="47" customFormat="1">
      <c r="A59" s="19" t="s">
        <v>400</v>
      </c>
      <c r="B59" s="20" t="s">
        <v>525</v>
      </c>
      <c r="C59" s="20">
        <f>IF(ISNUMBER(SEARCH("pF",B59)), VALUE(LEFT(B59,SEARCH("pF",B59)-1)),
 IF(ISNUMBER(SEARCH("nF",B59)), VALUE(LEFT(B59,SEARCH("nF",B59)-1))*1000,
 IF(ISNUMBER(SEARCH("µF",B59)), VALUE(LEFT(B59,SEARCH("µF",B59)-1))*1000000,"")))</f>
        <v>4700000</v>
      </c>
      <c r="D59" s="20"/>
      <c r="E59" s="23" t="s">
        <v>174</v>
      </c>
      <c r="G59" s="18"/>
    </row>
    <row r="60" spans="1:7" s="47" customFormat="1">
      <c r="A60" s="18" t="s">
        <v>844</v>
      </c>
      <c r="B60" s="18" t="s">
        <v>845</v>
      </c>
      <c r="C60" s="18">
        <f>IF(ISNUMBER(SEARCH("pF",B60)), VALUE(LEFT(B60,SEARCH("pF",B60)-1)),
 IF(ISNUMBER(SEARCH("nF",B60)), VALUE(LEFT(B60,SEARCH("nF",B60)-1))*1000,
 IF(ISNUMBER(SEARCH("uF",B60)), VALUE(LEFT(B60,SEARCH("uF",B60)-1))*1000000,"")))</f>
        <v>4700000</v>
      </c>
      <c r="D60" s="18"/>
      <c r="E60" s="21" t="s">
        <v>174</v>
      </c>
      <c r="F60" s="51">
        <v>300</v>
      </c>
      <c r="G60" s="18"/>
    </row>
    <row r="61" spans="1:7" s="47" customFormat="1">
      <c r="A61" s="18" t="s">
        <v>839</v>
      </c>
      <c r="B61" s="18" t="s">
        <v>840</v>
      </c>
      <c r="C61" s="18">
        <f>IF(ISNUMBER(SEARCH("pF",B61)), VALUE(LEFT(B61,SEARCH("pF",B61)-1)),
 IF(ISNUMBER(SEARCH("nF",B61)), VALUE(LEFT(B61,SEARCH("nF",B61)-1))*1000,
 IF(ISNUMBER(SEARCH("uF",B61)), VALUE(LEFT(B61,SEARCH("uF",B61)-1))*1000000,"")))</f>
        <v>330</v>
      </c>
      <c r="D61" s="18"/>
      <c r="E61" s="21" t="s">
        <v>174</v>
      </c>
      <c r="F61" s="51">
        <v>3000</v>
      </c>
      <c r="G61" s="18"/>
    </row>
    <row r="62" spans="1:7" s="47" customFormat="1">
      <c r="A62" s="19" t="s">
        <v>334</v>
      </c>
      <c r="B62" s="19" t="s">
        <v>521</v>
      </c>
      <c r="C62" s="20">
        <f t="shared" ref="C62:C66" si="2">IF(ISNUMBER(SEARCH("pF",B62)), VALUE(LEFT(B62,SEARCH("pF",B62)-1)),
 IF(ISNUMBER(SEARCH("nF",B62)), VALUE(LEFT(B62,SEARCH("nF",B62)-1))*1000,
 IF(ISNUMBER(SEARCH("µF",B62)), VALUE(LEFT(B62,SEARCH("µF",B62)-1))*1000000,"")))</f>
        <v>47000000</v>
      </c>
      <c r="D62" s="19"/>
      <c r="E62" s="22">
        <v>805</v>
      </c>
      <c r="G62" s="18"/>
    </row>
    <row r="63" spans="1:7" s="47" customFormat="1">
      <c r="A63" s="19" t="s">
        <v>306</v>
      </c>
      <c r="B63" s="20" t="s">
        <v>14</v>
      </c>
      <c r="C63" s="20">
        <f t="shared" si="2"/>
        <v>100</v>
      </c>
      <c r="D63" s="20"/>
      <c r="E63" s="23" t="s">
        <v>173</v>
      </c>
      <c r="G63" s="18"/>
    </row>
    <row r="64" spans="1:7" s="47" customFormat="1">
      <c r="A64" s="19" t="s">
        <v>308</v>
      </c>
      <c r="B64" s="19" t="s">
        <v>525</v>
      </c>
      <c r="C64" s="20">
        <f t="shared" si="2"/>
        <v>4700000</v>
      </c>
      <c r="D64" s="19"/>
      <c r="E64" s="21" t="s">
        <v>173</v>
      </c>
      <c r="G64" s="18"/>
    </row>
    <row r="65" spans="1:7" s="47" customFormat="1">
      <c r="A65" s="20" t="s">
        <v>303</v>
      </c>
      <c r="B65" s="19" t="s">
        <v>526</v>
      </c>
      <c r="C65" s="20">
        <f t="shared" si="2"/>
        <v>1.8</v>
      </c>
      <c r="D65" s="19"/>
      <c r="E65" s="18">
        <v>402</v>
      </c>
      <c r="G65" s="18"/>
    </row>
    <row r="66" spans="1:7" s="47" customFormat="1">
      <c r="A66" s="20" t="s">
        <v>302</v>
      </c>
      <c r="B66" s="19" t="s">
        <v>509</v>
      </c>
      <c r="C66" s="20">
        <f t="shared" si="2"/>
        <v>0.9</v>
      </c>
      <c r="D66" s="19"/>
      <c r="E66" s="21">
        <v>402</v>
      </c>
      <c r="G66" s="18"/>
    </row>
    <row r="67" spans="1:7" s="47" customFormat="1">
      <c r="A67" s="41" t="s">
        <v>997</v>
      </c>
      <c r="B67" s="42" t="s">
        <v>692</v>
      </c>
      <c r="C67" s="45">
        <f>IF(ISNUMBER(SEARCH("pF",B67)), VALUE(LEFT(B67,SEARCH("pF",B67)-1)),
 IF(ISNUMBER(SEARCH("nF",B67)), VALUE(LEFT(B67,SEARCH("nF",B67)-1))*1000,
 IF(ISNUMBER(SEARCH("uF",B67)), VALUE(LEFT(B67,SEARCH("uF",B67)-1))*1000000,"")))</f>
        <v>100000</v>
      </c>
      <c r="D67" s="45"/>
      <c r="E67" s="41" t="s">
        <v>688</v>
      </c>
      <c r="F67" s="42">
        <v>300</v>
      </c>
      <c r="G67" s="18" t="s">
        <v>1001</v>
      </c>
    </row>
    <row r="68" spans="1:7" s="47" customFormat="1">
      <c r="A68" s="18" t="s">
        <v>814</v>
      </c>
      <c r="B68" s="18" t="s">
        <v>943</v>
      </c>
      <c r="C68" s="18">
        <f>IF(ISNUMBER(SEARCH("pF",B68)), VALUE(LEFT(B68,SEARCH("pF",B68)-1)),
 IF(ISNUMBER(SEARCH("nF",B68)), VALUE(LEFT(B68,SEARCH("nF",B68)-1))*1000,
 IF(ISNUMBER(SEARCH("uF",B68)), VALUE(LEFT(B68,SEARCH("uF",B68)-1))*1000000,"")))</f>
        <v>10000</v>
      </c>
      <c r="D68" s="18"/>
      <c r="E68" s="21" t="s">
        <v>174</v>
      </c>
      <c r="F68" s="51">
        <v>3000</v>
      </c>
      <c r="G68" s="18"/>
    </row>
    <row r="69" spans="1:7" s="47" customFormat="1">
      <c r="A69" s="41" t="s">
        <v>690</v>
      </c>
      <c r="B69" s="42" t="s">
        <v>943</v>
      </c>
      <c r="C69" s="45">
        <f>IF(ISNUMBER(SEARCH("pF",B69)), VALUE(LEFT(B69,SEARCH("pF",B69)-1)),
 IF(ISNUMBER(SEARCH("nF",B69)), VALUE(LEFT(B69,SEARCH("nF",B69)-1))*1000,
 IF(ISNUMBER(SEARCH("uF",B69)), VALUE(LEFT(B69,SEARCH("uF",B69)-1))*1000000,"")))</f>
        <v>10000</v>
      </c>
      <c r="D69" s="45"/>
      <c r="E69" s="41" t="s">
        <v>688</v>
      </c>
      <c r="F69" s="42">
        <v>150</v>
      </c>
      <c r="G69" s="18" t="s">
        <v>1003</v>
      </c>
    </row>
    <row r="70" spans="1:7" s="47" customFormat="1">
      <c r="A70" s="18" t="s">
        <v>836</v>
      </c>
      <c r="B70" s="18" t="s">
        <v>307</v>
      </c>
      <c r="C70" s="18">
        <f>IF(ISNUMBER(SEARCH("pF",B70)), VALUE(LEFT(B70,SEARCH("pF",B70)-1)),
 IF(ISNUMBER(SEARCH("nF",B70)), VALUE(LEFT(B70,SEARCH("nF",B70)-1))*1000,
 IF(ISNUMBER(SEARCH("uF",B70)), VALUE(LEFT(B70,SEARCH("uF",B70)-1))*1000000,"")))</f>
        <v>100</v>
      </c>
      <c r="D70" s="18"/>
      <c r="E70" s="21" t="s">
        <v>174</v>
      </c>
      <c r="F70" s="51">
        <v>1000</v>
      </c>
      <c r="G70" s="18"/>
    </row>
    <row r="71" spans="1:7" s="47" customFormat="1">
      <c r="A71" s="18" t="s">
        <v>836</v>
      </c>
      <c r="B71" s="18" t="s">
        <v>307</v>
      </c>
      <c r="C71" s="18">
        <f>IF(ISNUMBER(SEARCH("pF",B71)), VALUE(LEFT(B71,SEARCH("pF",B71)-1)),
 IF(ISNUMBER(SEARCH("nF",B71)), VALUE(LEFT(B71,SEARCH("nF",B71)-1))*1000,
 IF(ISNUMBER(SEARCH("uF",B71)), VALUE(LEFT(B71,SEARCH("uF",B71)-1))*1000000,"")))</f>
        <v>100</v>
      </c>
      <c r="D71" s="18"/>
      <c r="E71" s="21" t="s">
        <v>174</v>
      </c>
      <c r="F71" s="51">
        <v>4000</v>
      </c>
      <c r="G71" s="18"/>
    </row>
    <row r="72" spans="1:7" s="47" customFormat="1">
      <c r="A72" s="20" t="s">
        <v>398</v>
      </c>
      <c r="B72" s="19" t="s">
        <v>14</v>
      </c>
      <c r="C72" s="20">
        <f>IF(ISNUMBER(SEARCH("pF",B72)), VALUE(LEFT(B72,SEARCH("pF",B72)-1)),
 IF(ISNUMBER(SEARCH("nF",B72)), VALUE(LEFT(B72,SEARCH("nF",B72)-1))*1000,
 IF(ISNUMBER(SEARCH("µF",B72)), VALUE(LEFT(B72,SEARCH("µF",B72)-1))*1000000,"")))</f>
        <v>100</v>
      </c>
      <c r="D72" s="19"/>
      <c r="E72" s="21" t="s">
        <v>174</v>
      </c>
      <c r="G72" s="18"/>
    </row>
    <row r="73" spans="1:7" s="47" customFormat="1">
      <c r="A73" s="18" t="s">
        <v>841</v>
      </c>
      <c r="B73" s="18" t="s">
        <v>840</v>
      </c>
      <c r="C73" s="18">
        <f>IF(ISNUMBER(SEARCH("pF",B73)), VALUE(LEFT(B73,SEARCH("pF",B73)-1)),
 IF(ISNUMBER(SEARCH("nF",B73)), VALUE(LEFT(B73,SEARCH("nF",B73)-1))*1000,
 IF(ISNUMBER(SEARCH("uF",B73)), VALUE(LEFT(B73,SEARCH("uF",B73)-1))*1000000,"")))</f>
        <v>330</v>
      </c>
      <c r="D73" s="18"/>
      <c r="E73" s="21" t="s">
        <v>174</v>
      </c>
      <c r="F73" s="51">
        <v>500</v>
      </c>
      <c r="G73" s="18"/>
    </row>
    <row r="74" spans="1:7" s="47" customFormat="1">
      <c r="A74" s="18" t="s">
        <v>841</v>
      </c>
      <c r="B74" s="18" t="s">
        <v>840</v>
      </c>
      <c r="C74" s="18">
        <f>IF(ISNUMBER(SEARCH("pF",B74)), VALUE(LEFT(B74,SEARCH("pF",B74)-1)),
 IF(ISNUMBER(SEARCH("nF",B74)), VALUE(LEFT(B74,SEARCH("nF",B74)-1))*1000,
 IF(ISNUMBER(SEARCH("uF",B74)), VALUE(LEFT(B74,SEARCH("uF",B74)-1))*1000000,"")))</f>
        <v>330</v>
      </c>
      <c r="D74" s="18"/>
      <c r="E74" s="21" t="s">
        <v>174</v>
      </c>
      <c r="F74" s="51">
        <v>100</v>
      </c>
      <c r="G74" s="18"/>
    </row>
    <row r="75" spans="1:7" s="47" customFormat="1">
      <c r="A75" s="18" t="s">
        <v>838</v>
      </c>
      <c r="B75" s="18" t="s">
        <v>301</v>
      </c>
      <c r="C75" s="18">
        <f>IF(ISNUMBER(SEARCH("pF",B75)), VALUE(LEFT(B75,SEARCH("pF",B75)-1)),
 IF(ISNUMBER(SEARCH("nF",B75)), VALUE(LEFT(B75,SEARCH("nF",B75)-1))*1000,
 IF(ISNUMBER(SEARCH("uF",B75)), VALUE(LEFT(B75,SEARCH("uF",B75)-1))*1000000,"")))</f>
        <v>100</v>
      </c>
      <c r="D75" s="18"/>
      <c r="E75" s="21" t="s">
        <v>178</v>
      </c>
      <c r="F75" s="51">
        <v>5000</v>
      </c>
      <c r="G75" s="18"/>
    </row>
    <row r="76" spans="1:7" s="47" customFormat="1">
      <c r="A76" s="20" t="s">
        <v>333</v>
      </c>
      <c r="B76" s="20" t="s">
        <v>527</v>
      </c>
      <c r="C76" s="20">
        <f>IF(ISNUMBER(SEARCH("pF",B76)), VALUE(LEFT(B76,SEARCH("pF",B76)-1)),
 IF(ISNUMBER(SEARCH("nF",B76)), VALUE(LEFT(B76,SEARCH("nF",B76)-1))*1000,
 IF(ISNUMBER(SEARCH("µF",B76)), VALUE(LEFT(B76,SEARCH("µF",B76)-1))*1000000,"")))</f>
        <v>27</v>
      </c>
      <c r="D76" s="20"/>
      <c r="E76" s="23">
        <v>805</v>
      </c>
      <c r="G76" s="18"/>
    </row>
    <row r="77" spans="1:7" s="47" customFormat="1">
      <c r="A77" s="20" t="s">
        <v>331</v>
      </c>
      <c r="B77" s="19" t="s">
        <v>528</v>
      </c>
      <c r="C77" s="20">
        <f>IF(ISNUMBER(SEARCH("pF",B77)), VALUE(LEFT(B77,SEARCH("pF",B77)-1)),
 IF(ISNUMBER(SEARCH("nF",B77)), VALUE(LEFT(B77,SEARCH("nF",B77)-1))*1000,
 IF(ISNUMBER(SEARCH("µF",B77)), VALUE(LEFT(B77,SEARCH("µF",B77)-1))*1000000,"")))</f>
        <v>390</v>
      </c>
      <c r="D77" s="19"/>
      <c r="E77" s="22" t="s">
        <v>178</v>
      </c>
      <c r="G77" s="18"/>
    </row>
    <row r="78" spans="1:7" s="47" customFormat="1">
      <c r="A78" s="20" t="s">
        <v>316</v>
      </c>
      <c r="B78" s="19" t="s">
        <v>524</v>
      </c>
      <c r="C78" s="20">
        <f>IF(ISNUMBER(SEARCH("pF",B78)), VALUE(LEFT(B78,SEARCH("pF",B78)-1)),
 IF(ISNUMBER(SEARCH("nF",B78)), VALUE(LEFT(B78,SEARCH("nF",B78)-1))*1000,
 IF(ISNUMBER(SEARCH("µF",B78)), VALUE(LEFT(B78,SEARCH("µF",B78)-1))*1000000,"")))</f>
        <v>22000000</v>
      </c>
      <c r="D78" s="19"/>
      <c r="E78" s="21" t="s">
        <v>529</v>
      </c>
      <c r="G78" s="18"/>
    </row>
    <row r="79" spans="1:7" s="47" customFormat="1">
      <c r="A79" s="54" t="s">
        <v>935</v>
      </c>
      <c r="B79" s="54" t="s">
        <v>944</v>
      </c>
      <c r="C79" s="18">
        <f>IF(ISNUMBER(SEARCH("pF",B79)), VALUE(LEFT(B79,SEARCH("pF",B79)-1)),
 IF(ISNUMBER(SEARCH("nF",B79)), VALUE(LEFT(B79,SEARCH("nF",B79)-1))*1000,
 IF(ISNUMBER(SEARCH("uF",B79)), VALUE(LEFT(B79,SEARCH("uF",B79)-1))*1000000,"")))</f>
        <v>22000</v>
      </c>
      <c r="D79" s="18"/>
      <c r="E79" s="54" t="s">
        <v>947</v>
      </c>
      <c r="F79" s="54" t="s">
        <v>950</v>
      </c>
      <c r="G79" s="18"/>
    </row>
    <row r="80" spans="1:7" s="47" customFormat="1">
      <c r="A80" s="20" t="s">
        <v>359</v>
      </c>
      <c r="B80" s="19" t="s">
        <v>518</v>
      </c>
      <c r="C80" s="20">
        <f>IF(ISNUMBER(SEARCH("pF",B80)), VALUE(LEFT(B80,SEARCH("pF",B80)-1)),
 IF(ISNUMBER(SEARCH("nF",B80)), VALUE(LEFT(B80,SEARCH("nF",B80)-1))*1000,
 IF(ISNUMBER(SEARCH("µF",B80)), VALUE(LEFT(B80,SEARCH("µF",B80)-1))*1000000,"")))</f>
        <v>10000000</v>
      </c>
      <c r="D80" s="19"/>
      <c r="E80" s="22" t="s">
        <v>530</v>
      </c>
      <c r="G80" s="18"/>
    </row>
    <row r="81" spans="1:7" s="47" customFormat="1">
      <c r="A81" s="20" t="s">
        <v>317</v>
      </c>
      <c r="B81" s="19" t="s">
        <v>518</v>
      </c>
      <c r="C81" s="20">
        <f>IF(ISNUMBER(SEARCH("pF",B81)), VALUE(LEFT(B81,SEARCH("pF",B81)-1)),
 IF(ISNUMBER(SEARCH("nF",B81)), VALUE(LEFT(B81,SEARCH("nF",B81)-1))*1000,
 IF(ISNUMBER(SEARCH("µF",B81)), VALUE(LEFT(B81,SEARCH("µF",B81)-1))*1000000,"")))</f>
        <v>10000000</v>
      </c>
      <c r="D81" s="19"/>
      <c r="E81" s="22">
        <v>1206</v>
      </c>
      <c r="G81" s="18"/>
    </row>
    <row r="82" spans="1:7" s="47" customFormat="1">
      <c r="A82" s="54" t="s">
        <v>929</v>
      </c>
      <c r="B82" s="54" t="s">
        <v>301</v>
      </c>
      <c r="C82" s="18">
        <f>IF(ISNUMBER(SEARCH("pF",B82)), VALUE(LEFT(B82,SEARCH("pF",B82)-1)),
 IF(ISNUMBER(SEARCH("nF",B82)), VALUE(LEFT(B82,SEARCH("nF",B82)-1))*1000,
 IF(ISNUMBER(SEARCH("uF",B82)), VALUE(LEFT(B82,SEARCH("uF",B82)-1))*1000000,"")))</f>
        <v>100</v>
      </c>
      <c r="D82" s="18"/>
      <c r="E82" s="54" t="s">
        <v>947</v>
      </c>
      <c r="F82" s="54" t="s">
        <v>953</v>
      </c>
      <c r="G82" s="18"/>
    </row>
    <row r="83" spans="1:7" s="47" customFormat="1">
      <c r="A83" s="54" t="s">
        <v>928</v>
      </c>
      <c r="B83" s="54" t="s">
        <v>179</v>
      </c>
      <c r="C83" s="18">
        <f>IF(ISNUMBER(SEARCH("pF",B83)), VALUE(LEFT(B83,SEARCH("pF",B83)-1)),
 IF(ISNUMBER(SEARCH("nF",B83)), VALUE(LEFT(B83,SEARCH("nF",B83)-1))*1000,
 IF(ISNUMBER(SEARCH("uF",B83)), VALUE(LEFT(B83,SEARCH("uF",B83)-1))*1000000,"")))</f>
        <v>22</v>
      </c>
      <c r="D83" s="18"/>
      <c r="E83" s="54" t="s">
        <v>947</v>
      </c>
      <c r="F83" s="54" t="s">
        <v>949</v>
      </c>
      <c r="G83" s="18"/>
    </row>
    <row r="84" spans="1:7" s="47" customFormat="1">
      <c r="A84" s="54" t="s">
        <v>924</v>
      </c>
      <c r="B84" s="54" t="s">
        <v>939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8</v>
      </c>
      <c r="D84" s="18"/>
      <c r="E84" s="54" t="s">
        <v>947</v>
      </c>
      <c r="F84" s="54" t="s">
        <v>950</v>
      </c>
      <c r="G84" s="18"/>
    </row>
    <row r="85" spans="1:7" s="47" customFormat="1">
      <c r="A85" s="20" t="s">
        <v>414</v>
      </c>
      <c r="B85" s="19" t="s">
        <v>531</v>
      </c>
      <c r="C85" s="20">
        <f>IF(ISNUMBER(SEARCH("pF",B85)), VALUE(LEFT(B85,SEARCH("pF",B85)-1)),
 IF(ISNUMBER(SEARCH("nF",B85)), VALUE(LEFT(B85,SEARCH("nF",B85)-1))*1000,
 IF(ISNUMBER(SEARCH("µF",B85)), VALUE(LEFT(B85,SEARCH("µF",B85)-1))*1000000,"")))</f>
        <v>1000</v>
      </c>
      <c r="D85" s="19"/>
      <c r="E85" s="22" t="s">
        <v>173</v>
      </c>
      <c r="G85" s="18"/>
    </row>
    <row r="86" spans="1:7" s="47" customFormat="1">
      <c r="A86" s="18" t="s">
        <v>819</v>
      </c>
      <c r="B86" s="18" t="s">
        <v>820</v>
      </c>
      <c r="C86" s="18">
        <f>IF(ISNUMBER(SEARCH("pF",B86)), VALUE(LEFT(B86,SEARCH("pF",B86)-1)),
 IF(ISNUMBER(SEARCH("nF",B86)), VALUE(LEFT(B86,SEARCH("nF",B86)-1))*1000,
 IF(ISNUMBER(SEARCH("uF",B86)), VALUE(LEFT(B86,SEARCH("uF",B86)-1))*1000000,"")))</f>
        <v>39</v>
      </c>
      <c r="D86" s="18"/>
      <c r="E86" s="21" t="s">
        <v>174</v>
      </c>
      <c r="F86" s="51">
        <v>500</v>
      </c>
      <c r="G86" s="18"/>
    </row>
    <row r="87" spans="1:7" s="47" customFormat="1">
      <c r="A87" s="20" t="s">
        <v>401</v>
      </c>
      <c r="B87" s="19" t="s">
        <v>532</v>
      </c>
      <c r="C87" s="20">
        <f>IF(ISNUMBER(SEARCH("pF",B87)), VALUE(LEFT(B87,SEARCH("pF",B87)-1)),
 IF(ISNUMBER(SEARCH("nF",B87)), VALUE(LEFT(B87,SEARCH("nF",B87)-1))*1000,
 IF(ISNUMBER(SEARCH("µF",B87)), VALUE(LEFT(B87,SEARCH("µF",B87)-1))*1000000,"")))</f>
        <v>2200000</v>
      </c>
      <c r="D87" s="19"/>
      <c r="E87" s="21" t="s">
        <v>174</v>
      </c>
      <c r="G87" s="18"/>
    </row>
    <row r="88" spans="1:7" s="47" customFormat="1">
      <c r="A88" s="20" t="s">
        <v>405</v>
      </c>
      <c r="B88" s="19" t="s">
        <v>502</v>
      </c>
      <c r="C88" s="20">
        <f>IF(ISNUMBER(SEARCH("pF",B88)), VALUE(LEFT(B88,SEARCH("pF",B88)-1)),
 IF(ISNUMBER(SEARCH("nF",B88)), VALUE(LEFT(B88,SEARCH("nF",B88)-1))*1000,
 IF(ISNUMBER(SEARCH("µF",B88)), VALUE(LEFT(B88,SEARCH("µF",B88)-1))*1000000,"")))</f>
        <v>100000</v>
      </c>
      <c r="D88" s="19"/>
      <c r="E88" s="22" t="s">
        <v>174</v>
      </c>
      <c r="G88" s="18"/>
    </row>
    <row r="89" spans="1:7" s="47" customFormat="1">
      <c r="A89" s="20" t="s">
        <v>324</v>
      </c>
      <c r="B89" s="19" t="s">
        <v>533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3300</v>
      </c>
      <c r="D89" s="19"/>
      <c r="E89" s="22" t="s">
        <v>178</v>
      </c>
      <c r="G89" s="18"/>
    </row>
    <row r="90" spans="1:7" s="47" customFormat="1">
      <c r="A90" s="20" t="s">
        <v>319</v>
      </c>
      <c r="B90" s="19" t="s">
        <v>524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22000000</v>
      </c>
      <c r="D90" s="19"/>
      <c r="E90" s="22" t="s">
        <v>178</v>
      </c>
      <c r="G90" s="18"/>
    </row>
    <row r="91" spans="1:7" s="47" customFormat="1">
      <c r="A91" s="18" t="s">
        <v>774</v>
      </c>
      <c r="B91" s="18" t="s">
        <v>773</v>
      </c>
      <c r="C91" s="18">
        <f>IF(ISNUMBER(SEARCH("pF",B91)), VALUE(LEFT(B91,SEARCH("pF",B91)-1)),
 IF(ISNUMBER(SEARCH("nF",B91)), VALUE(LEFT(B91,SEARCH("nF",B91)-1))*1000,
 IF(ISNUMBER(SEARCH("uF",B91)), VALUE(LEFT(B91,SEARCH("uF",B91)-1))*1000000,"")))</f>
        <v>2200000</v>
      </c>
      <c r="D91" s="18"/>
      <c r="E91" s="21" t="s">
        <v>178</v>
      </c>
      <c r="F91" s="51">
        <v>1000</v>
      </c>
      <c r="G91" s="18"/>
    </row>
    <row r="92" spans="1:7" s="47" customFormat="1">
      <c r="A92" s="18" t="s">
        <v>775</v>
      </c>
      <c r="B92" s="18" t="s">
        <v>776</v>
      </c>
      <c r="C92" s="18">
        <f>IF(ISNUMBER(SEARCH("pF",B92)), VALUE(LEFT(B92,SEARCH("pF",B92)-1)),
 IF(ISNUMBER(SEARCH("nF",B92)), VALUE(LEFT(B92,SEARCH("nF",B92)-1))*1000,
 IF(ISNUMBER(SEARCH("uF",B92)), VALUE(LEFT(B92,SEARCH("uF",B92)-1))*1000000,"")))</f>
        <v>1000000</v>
      </c>
      <c r="D92" s="18"/>
      <c r="E92" s="21" t="s">
        <v>178</v>
      </c>
      <c r="F92" s="51">
        <v>1000</v>
      </c>
      <c r="G92" s="18"/>
    </row>
    <row r="93" spans="1:7" s="47" customFormat="1">
      <c r="A93" s="20" t="s">
        <v>312</v>
      </c>
      <c r="B93" s="19" t="s">
        <v>524</v>
      </c>
      <c r="C93" s="20">
        <f>IF(ISNUMBER(SEARCH("pF",B93)), VALUE(LEFT(B93,SEARCH("pF",B93)-1)),
 IF(ISNUMBER(SEARCH("nF",B93)), VALUE(LEFT(B93,SEARCH("nF",B93)-1))*1000,
 IF(ISNUMBER(SEARCH("µF",B93)), VALUE(LEFT(B93,SEARCH("µF",B93)-1))*1000000,"")))</f>
        <v>22000000</v>
      </c>
      <c r="D93" s="19"/>
      <c r="E93" s="22">
        <v>1210</v>
      </c>
      <c r="G93" s="18"/>
    </row>
    <row r="94" spans="1:7" s="47" customFormat="1">
      <c r="A94" s="20" t="s">
        <v>402</v>
      </c>
      <c r="B94" s="19" t="s">
        <v>532</v>
      </c>
      <c r="C94" s="20">
        <f>IF(ISNUMBER(SEARCH("pF",B94)), VALUE(LEFT(B94,SEARCH("pF",B94)-1)),
 IF(ISNUMBER(SEARCH("nF",B94)), VALUE(LEFT(B94,SEARCH("nF",B94)-1))*1000,
 IF(ISNUMBER(SEARCH("µF",B94)), VALUE(LEFT(B94,SEARCH("µF",B94)-1))*1000000,"")))</f>
        <v>2200000</v>
      </c>
      <c r="D94" s="19"/>
      <c r="E94" s="22" t="s">
        <v>174</v>
      </c>
      <c r="G94" s="18"/>
    </row>
    <row r="95" spans="1:7" s="47" customFormat="1">
      <c r="A95" s="20" t="s">
        <v>325</v>
      </c>
      <c r="B95" s="18" t="s">
        <v>534</v>
      </c>
      <c r="C95" s="20">
        <f>IF(ISNUMBER(SEARCH("pF",B95)), VALUE(LEFT(B95,SEARCH("pF",B95)-1)),
 IF(ISNUMBER(SEARCH("nF",B95)), VALUE(LEFT(B95,SEARCH("nF",B95)-1))*1000,
 IF(ISNUMBER(SEARCH("µF",B95)), VALUE(LEFT(B95,SEARCH("µF",B95)-1))*1000000,"")))</f>
        <v>0.1</v>
      </c>
      <c r="D95" s="19"/>
      <c r="E95" s="21" t="s">
        <v>691</v>
      </c>
      <c r="G95" s="18"/>
    </row>
    <row r="96" spans="1:7" s="47" customFormat="1">
      <c r="A96" s="19" t="s">
        <v>180</v>
      </c>
      <c r="B96" s="20" t="s">
        <v>9</v>
      </c>
      <c r="C96" s="20">
        <f>IF(ISNUMBER(SEARCH("pF",B96)), VALUE(LEFT(B96,SEARCH("pF",B96)-1)),
 IF(ISNUMBER(SEARCH("nF",B96)), VALUE(LEFT(B96,SEARCH("nF",B96)-1))*1000,
 IF(ISNUMBER(SEARCH("uF",B96)), VALUE(LEFT(B96,SEARCH("uF",B96)-1))*1000000,"")))</f>
        <v>220000000</v>
      </c>
      <c r="D96" s="20" t="s">
        <v>305</v>
      </c>
      <c r="E96" s="23" t="s">
        <v>177</v>
      </c>
      <c r="G96" s="18"/>
    </row>
    <row r="97" spans="1:7" s="47" customFormat="1">
      <c r="A97" s="20" t="s">
        <v>313</v>
      </c>
      <c r="B97" s="19" t="s">
        <v>536</v>
      </c>
      <c r="C97" s="20">
        <f>IF(ISNUMBER(SEARCH("pF",B97)), VALUE(LEFT(B97,SEARCH("pF",B97)-1)),
 IF(ISNUMBER(SEARCH("nF",B97)), VALUE(LEFT(B97,SEARCH("nF",B97)-1))*1000,
 IF(ISNUMBER(SEARCH("µF",B97)), VALUE(LEFT(B97,SEARCH("µF",B97)-1))*1000000,"")))</f>
        <v>100000000</v>
      </c>
      <c r="D97" s="19"/>
      <c r="E97" s="21" t="s">
        <v>535</v>
      </c>
      <c r="G97" s="18"/>
    </row>
    <row r="98" spans="1:7" s="47" customFormat="1">
      <c r="A98" s="20" t="s">
        <v>701</v>
      </c>
      <c r="B98" s="20" t="s">
        <v>702</v>
      </c>
      <c r="C98" s="20">
        <f>IF(ISNUMBER(SEARCH("pF",B98)), VALUE(LEFT(B98,SEARCH("pF",B98)-1)),
 IF(ISNUMBER(SEARCH("nF",B98)), VALUE(LEFT(B98,SEARCH("nF",B98)-1))*1000,
 IF(ISNUMBER(SEARCH("uF",B98)), VALUE(LEFT(B98,SEARCH("uF",B98)-1))*1000000,"")))</f>
        <v>10000000</v>
      </c>
      <c r="D98" s="20"/>
      <c r="E98" s="23" t="s">
        <v>178</v>
      </c>
      <c r="F98" s="51">
        <v>200</v>
      </c>
      <c r="G98" s="20" t="s">
        <v>996</v>
      </c>
    </row>
    <row r="99" spans="1:7" s="47" customFormat="1">
      <c r="A99" s="20" t="s">
        <v>314</v>
      </c>
      <c r="B99" s="19" t="s">
        <v>524</v>
      </c>
      <c r="C99" s="20">
        <f>IF(ISNUMBER(SEARCH("pF",B99)), VALUE(LEFT(B99,SEARCH("pF",B99)-1)),
 IF(ISNUMBER(SEARCH("nF",B99)), VALUE(LEFT(B99,SEARCH("nF",B99)-1))*1000,
 IF(ISNUMBER(SEARCH("µF",B99)), VALUE(LEFT(B99,SEARCH("µF",B99)-1))*1000000,"")))</f>
        <v>22000000</v>
      </c>
      <c r="D99" s="19"/>
      <c r="E99" s="21">
        <v>1210</v>
      </c>
      <c r="G99" s="18"/>
    </row>
    <row r="100" spans="1:7" s="47" customFormat="1">
      <c r="A100" s="20" t="s">
        <v>367</v>
      </c>
      <c r="B100" s="18" t="s">
        <v>538</v>
      </c>
      <c r="C100" s="20">
        <f>IF(ISNUMBER(SEARCH("pF",B100)), VALUE(LEFT(B100,SEARCH("pF",B100)-1)),
 IF(ISNUMBER(SEARCH("nF",B100)), VALUE(LEFT(B100,SEARCH("nF",B100)-1))*1000,
 IF(ISNUMBER(SEARCH("µF",B100)), VALUE(LEFT(B100,SEARCH("µF",B100)-1))*1000000,"")))</f>
        <v>1</v>
      </c>
      <c r="D100" s="21"/>
      <c r="E100" s="18" t="s">
        <v>537</v>
      </c>
      <c r="G100" s="18"/>
    </row>
    <row r="101" spans="1:7">
      <c r="A101" s="18" t="s">
        <v>993</v>
      </c>
      <c r="B101" s="18" t="s">
        <v>938</v>
      </c>
      <c r="C101" s="20">
        <f t="shared" ref="C101" si="3">IF(ISNUMBER(SEARCH("pF",B101)), VALUE(LEFT(B101,SEARCH("pF",B101)-1)),
 IF(ISNUMBER(SEARCH("nF",B101)), VALUE(LEFT(B101,SEARCH("nF",B101)-1))*1000,
 IF(ISNUMBER(SEARCH("µF",B101)), VALUE(LEFT(B101,SEARCH("µF",B101)-1))*1000000,"")))</f>
        <v>2</v>
      </c>
      <c r="E101" s="21" t="s">
        <v>173</v>
      </c>
      <c r="F101" s="49">
        <v>50</v>
      </c>
      <c r="G101" s="18"/>
    </row>
    <row r="102" spans="1:7">
      <c r="A102" s="18" t="s">
        <v>994</v>
      </c>
      <c r="B102" s="18" t="s">
        <v>998</v>
      </c>
      <c r="C102" s="20">
        <f>IF(ISNUMBER(SEARCH("pF",B102)), VALUE(LEFT(B102,SEARCH("pF",B102)-1)),
 IF(ISNUMBER(SEARCH("nF",B102)), VALUE(LEFT(B102,SEARCH("nF",B102)-1))*1000,
 IF(ISNUMBER(SEARCH("uF",B102)), VALUE(LEFT(B102,SEARCH("uF",B102)-1))*1000000,"")))</f>
        <v>100000</v>
      </c>
      <c r="E102" s="21" t="s">
        <v>173</v>
      </c>
      <c r="F102" s="49">
        <v>1000</v>
      </c>
      <c r="G102" s="18" t="s">
        <v>996</v>
      </c>
    </row>
    <row r="103" spans="1:7">
      <c r="A103" s="18" t="s">
        <v>1005</v>
      </c>
      <c r="B103" s="18" t="s">
        <v>945</v>
      </c>
      <c r="C103" s="20">
        <f>IF(ISNUMBER(SEARCH("pF",B103)), VALUE(LEFT(B103,SEARCH("pF",B103)-1)),
 IF(ISNUMBER(SEARCH("nF",B103)), VALUE(LEFT(B103,SEARCH("nF",B103)-1))*1000,
 IF(ISNUMBER(SEARCH("uF",B103)), VALUE(LEFT(B103,SEARCH("uF",B103)-1))*1000000,"")))</f>
        <v>1000000</v>
      </c>
      <c r="D103" s="18" t="s">
        <v>1006</v>
      </c>
      <c r="E103" s="21" t="s">
        <v>174</v>
      </c>
      <c r="F103" s="57">
        <v>300</v>
      </c>
      <c r="G103" s="18" t="s">
        <v>996</v>
      </c>
    </row>
    <row r="104" spans="1:7">
      <c r="A104" s="18" t="s">
        <v>1007</v>
      </c>
      <c r="B104" s="18" t="s">
        <v>945</v>
      </c>
      <c r="C104" s="20">
        <f>IF(ISNUMBER(SEARCH("pF",B104)), VALUE(LEFT(B104,SEARCH("pF",B104)-1)),
 IF(ISNUMBER(SEARCH("nF",B104)), VALUE(LEFT(B104,SEARCH("nF",B104)-1))*1000,
 IF(ISNUMBER(SEARCH("uF",B104)), VALUE(LEFT(B104,SEARCH("uF",B104)-1))*1000000,"")))</f>
        <v>1000000</v>
      </c>
      <c r="D104" s="18" t="s">
        <v>1008</v>
      </c>
      <c r="E104" s="21" t="s">
        <v>174</v>
      </c>
      <c r="F104" s="57">
        <v>300</v>
      </c>
      <c r="G104" s="18" t="s">
        <v>996</v>
      </c>
    </row>
    <row r="105" spans="1:7">
      <c r="F105" s="57"/>
      <c r="G105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62" t="s">
        <v>434</v>
      </c>
      <c r="B1" s="62"/>
      <c r="C1" s="62"/>
      <c r="D1" s="62"/>
    </row>
    <row r="2" spans="1:4">
      <c r="A2" s="25" t="s">
        <v>169</v>
      </c>
      <c r="B2" s="25" t="s">
        <v>184</v>
      </c>
      <c r="C2" s="25" t="s">
        <v>451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435</v>
      </c>
      <c r="B5" s="28" t="s">
        <v>436</v>
      </c>
      <c r="C5" s="2"/>
      <c r="D5" s="2" t="s">
        <v>174</v>
      </c>
    </row>
    <row r="6" spans="1:4">
      <c r="A6" s="6" t="s">
        <v>437</v>
      </c>
      <c r="B6" s="28" t="s">
        <v>438</v>
      </c>
      <c r="C6" s="2"/>
      <c r="D6" s="47"/>
    </row>
    <row r="7" spans="1:4">
      <c r="A7" s="47" t="s">
        <v>440</v>
      </c>
      <c r="B7" s="29" t="s">
        <v>441</v>
      </c>
      <c r="C7" s="47"/>
      <c r="D7" s="47"/>
    </row>
    <row r="8" spans="1:4">
      <c r="A8" s="2" t="s">
        <v>442</v>
      </c>
      <c r="B8" s="28" t="s">
        <v>443</v>
      </c>
      <c r="C8" s="2"/>
      <c r="D8" s="47"/>
    </row>
    <row r="9" spans="1:4">
      <c r="A9" s="2" t="s">
        <v>444</v>
      </c>
      <c r="B9" s="28" t="s">
        <v>445</v>
      </c>
      <c r="C9" s="2"/>
      <c r="D9" s="47"/>
    </row>
    <row r="10" spans="1:4">
      <c r="A10" s="2" t="s">
        <v>446</v>
      </c>
      <c r="B10" s="28" t="s">
        <v>447</v>
      </c>
      <c r="C10" s="2"/>
      <c r="D10" s="47"/>
    </row>
    <row r="11" spans="1:4">
      <c r="A11" s="3" t="s">
        <v>448</v>
      </c>
      <c r="B11" s="15" t="s">
        <v>449</v>
      </c>
      <c r="C11" s="47"/>
      <c r="D11" s="47"/>
    </row>
    <row r="12" spans="1:4">
      <c r="A12" s="47" t="s">
        <v>450</v>
      </c>
      <c r="B12" s="29" t="s">
        <v>443</v>
      </c>
      <c r="C12" s="29" t="s">
        <v>452</v>
      </c>
      <c r="D12" s="47"/>
    </row>
    <row r="13" spans="1:4">
      <c r="A13" s="3" t="s">
        <v>453</v>
      </c>
      <c r="B13" s="15" t="s">
        <v>454</v>
      </c>
      <c r="C13" s="15" t="s">
        <v>455</v>
      </c>
      <c r="D13" s="47"/>
    </row>
    <row r="14" spans="1:4">
      <c r="A14" s="2" t="s">
        <v>456</v>
      </c>
      <c r="B14" s="2" t="s">
        <v>457</v>
      </c>
      <c r="C14" s="2" t="s">
        <v>458</v>
      </c>
      <c r="D14" s="47"/>
    </row>
    <row r="15" spans="1:4">
      <c r="A15" s="47" t="s">
        <v>435</v>
      </c>
      <c r="B15" s="47" t="s">
        <v>459</v>
      </c>
      <c r="C15" s="47" t="s">
        <v>455</v>
      </c>
      <c r="D15" s="47"/>
    </row>
    <row r="16" spans="1:4">
      <c r="A16" s="28" t="s">
        <v>461</v>
      </c>
      <c r="B16" s="28" t="s">
        <v>462</v>
      </c>
      <c r="C16" s="28" t="s">
        <v>463</v>
      </c>
      <c r="D16" s="2" t="s">
        <v>174</v>
      </c>
    </row>
    <row r="17" spans="1:5">
      <c r="A17" s="2" t="s">
        <v>464</v>
      </c>
      <c r="B17" s="28" t="s">
        <v>465</v>
      </c>
      <c r="C17" s="28" t="s">
        <v>466</v>
      </c>
      <c r="D17" s="2" t="s">
        <v>174</v>
      </c>
    </row>
    <row r="18" spans="1:5">
      <c r="A18" s="2" t="s">
        <v>467</v>
      </c>
      <c r="B18" s="28" t="s">
        <v>468</v>
      </c>
      <c r="C18" s="28" t="s">
        <v>455</v>
      </c>
      <c r="D18" s="47"/>
    </row>
    <row r="19" spans="1:5">
      <c r="A19" s="2" t="s">
        <v>469</v>
      </c>
      <c r="B19" s="28" t="s">
        <v>470</v>
      </c>
      <c r="C19" s="28" t="s">
        <v>471</v>
      </c>
      <c r="D19" s="47"/>
    </row>
    <row r="20" spans="1:5">
      <c r="A20" s="2" t="s">
        <v>435</v>
      </c>
      <c r="B20" s="28" t="s">
        <v>459</v>
      </c>
      <c r="C20" s="28" t="s">
        <v>472</v>
      </c>
      <c r="D20" s="47"/>
    </row>
    <row r="21" spans="1:5">
      <c r="A21" s="6" t="s">
        <v>473</v>
      </c>
      <c r="B21" s="2"/>
      <c r="C21" s="2"/>
      <c r="D21" s="47"/>
    </row>
    <row r="22" spans="1:5">
      <c r="A22" s="2" t="s">
        <v>475</v>
      </c>
      <c r="B22" s="2" t="s">
        <v>447</v>
      </c>
      <c r="C22" s="2" t="s">
        <v>476</v>
      </c>
      <c r="D22" s="47"/>
    </row>
    <row r="23" spans="1:5">
      <c r="A23" s="2" t="s">
        <v>477</v>
      </c>
      <c r="B23" s="2" t="s">
        <v>478</v>
      </c>
      <c r="C23" s="2" t="s">
        <v>479</v>
      </c>
      <c r="D23" s="2" t="s">
        <v>174</v>
      </c>
    </row>
    <row r="24" spans="1:5">
      <c r="A24" s="2" t="s">
        <v>710</v>
      </c>
      <c r="B24" s="47" t="s">
        <v>711</v>
      </c>
      <c r="C24" s="2">
        <v>0.7</v>
      </c>
      <c r="D24" s="47" t="s">
        <v>731</v>
      </c>
      <c r="E24" s="37"/>
    </row>
    <row r="25" spans="1:5">
      <c r="A25" s="6" t="s">
        <v>486</v>
      </c>
      <c r="B25" s="47" t="s">
        <v>711</v>
      </c>
      <c r="C25" s="2">
        <v>1.4</v>
      </c>
      <c r="D25" s="47" t="s">
        <v>731</v>
      </c>
      <c r="E25" s="37"/>
    </row>
    <row r="26" spans="1:5">
      <c r="A26" s="47" t="s">
        <v>487</v>
      </c>
      <c r="B26" s="47" t="s">
        <v>712</v>
      </c>
      <c r="C26" s="47">
        <v>0.6</v>
      </c>
      <c r="D26" s="47" t="s">
        <v>731</v>
      </c>
      <c r="E26" s="37"/>
    </row>
    <row r="27" spans="1:5">
      <c r="A27" s="2" t="s">
        <v>488</v>
      </c>
      <c r="B27" s="47" t="s">
        <v>713</v>
      </c>
      <c r="C27" s="2">
        <v>0.4</v>
      </c>
      <c r="D27" s="47" t="s">
        <v>731</v>
      </c>
      <c r="E27" s="37"/>
    </row>
    <row r="28" spans="1:5">
      <c r="A28" s="2" t="s">
        <v>489</v>
      </c>
      <c r="B28" s="47" t="s">
        <v>714</v>
      </c>
      <c r="C28" s="2">
        <v>0.34</v>
      </c>
      <c r="D28" s="47" t="s">
        <v>731</v>
      </c>
      <c r="E28" s="37"/>
    </row>
    <row r="29" spans="1:5">
      <c r="A29" s="2" t="s">
        <v>490</v>
      </c>
      <c r="B29" s="47" t="s">
        <v>715</v>
      </c>
      <c r="C29" s="2">
        <v>0.08</v>
      </c>
      <c r="D29" s="47" t="s">
        <v>732</v>
      </c>
      <c r="E29" s="37"/>
    </row>
    <row r="30" spans="1:5">
      <c r="A30" s="3" t="s">
        <v>491</v>
      </c>
      <c r="B30" s="47" t="s">
        <v>716</v>
      </c>
      <c r="C30" s="47">
        <v>0.2</v>
      </c>
      <c r="D30" s="47" t="s">
        <v>732</v>
      </c>
      <c r="E30" s="37"/>
    </row>
    <row r="31" spans="1:5">
      <c r="A31" s="47" t="s">
        <v>492</v>
      </c>
      <c r="B31" s="47" t="s">
        <v>717</v>
      </c>
      <c r="C31" s="47">
        <v>0.36</v>
      </c>
      <c r="D31" s="47" t="s">
        <v>733</v>
      </c>
      <c r="E31" s="37"/>
    </row>
    <row r="32" spans="1:5">
      <c r="A32" s="3" t="s">
        <v>493</v>
      </c>
      <c r="B32" s="47" t="s">
        <v>718</v>
      </c>
      <c r="C32" s="47">
        <v>0.22</v>
      </c>
      <c r="D32" s="47" t="s">
        <v>731</v>
      </c>
      <c r="E32" s="37"/>
    </row>
    <row r="33" spans="1:5">
      <c r="A33" s="2" t="s">
        <v>494</v>
      </c>
      <c r="B33" s="47" t="s">
        <v>719</v>
      </c>
      <c r="C33" s="2">
        <v>0.38</v>
      </c>
      <c r="D33" s="47" t="s">
        <v>731</v>
      </c>
      <c r="E33" s="37"/>
    </row>
    <row r="34" spans="1:5">
      <c r="A34" s="47" t="s">
        <v>495</v>
      </c>
      <c r="B34" s="47" t="s">
        <v>720</v>
      </c>
      <c r="C34" s="47">
        <v>0.8</v>
      </c>
      <c r="D34" s="47" t="s">
        <v>733</v>
      </c>
      <c r="E34" s="37"/>
    </row>
    <row r="35" spans="1:5">
      <c r="A35" s="2" t="s">
        <v>496</v>
      </c>
      <c r="B35" s="47" t="s">
        <v>716</v>
      </c>
      <c r="C35" s="2"/>
      <c r="D35" s="47" t="s">
        <v>731</v>
      </c>
      <c r="E35" s="37"/>
    </row>
    <row r="36" spans="1:5">
      <c r="A36" s="2" t="s">
        <v>497</v>
      </c>
      <c r="B36" s="47" t="s">
        <v>721</v>
      </c>
      <c r="C36" s="2">
        <v>0.42</v>
      </c>
      <c r="D36" s="47" t="s">
        <v>731</v>
      </c>
      <c r="E36" s="37"/>
    </row>
    <row r="37" spans="1:5">
      <c r="A37" s="2" t="s">
        <v>498</v>
      </c>
      <c r="B37" s="47" t="s">
        <v>722</v>
      </c>
      <c r="C37" s="2">
        <v>0.65</v>
      </c>
      <c r="D37" s="47" t="s">
        <v>731</v>
      </c>
      <c r="E37" s="37"/>
    </row>
    <row r="38" spans="1:5">
      <c r="A38" s="2" t="s">
        <v>727</v>
      </c>
      <c r="B38" s="2" t="s">
        <v>723</v>
      </c>
      <c r="C38" s="2">
        <v>1.5</v>
      </c>
      <c r="D38" s="47" t="s">
        <v>735</v>
      </c>
      <c r="E38" s="1"/>
    </row>
    <row r="39" spans="1:5">
      <c r="A39" s="6" t="s">
        <v>499</v>
      </c>
      <c r="B39" s="47" t="s">
        <v>724</v>
      </c>
      <c r="C39" s="2">
        <v>0.3</v>
      </c>
      <c r="D39" s="47" t="s">
        <v>734</v>
      </c>
      <c r="E39" s="37"/>
    </row>
    <row r="40" spans="1:5">
      <c r="A40" s="2" t="s">
        <v>500</v>
      </c>
      <c r="B40" s="47" t="s">
        <v>725</v>
      </c>
      <c r="C40" s="2">
        <v>0.3</v>
      </c>
      <c r="D40" s="47" t="s">
        <v>734</v>
      </c>
      <c r="E40" s="37"/>
    </row>
    <row r="41" spans="1:5">
      <c r="A41" s="2" t="s">
        <v>501</v>
      </c>
      <c r="B41" s="47" t="s">
        <v>726</v>
      </c>
      <c r="C41" s="2">
        <v>0.4</v>
      </c>
      <c r="D41" s="47" t="s">
        <v>736</v>
      </c>
      <c r="E41" s="37"/>
    </row>
    <row r="42" spans="1:5">
      <c r="A42" s="2" t="s">
        <v>728</v>
      </c>
      <c r="B42" s="47" t="s">
        <v>729</v>
      </c>
      <c r="C42" s="2" t="s">
        <v>730</v>
      </c>
      <c r="D42" s="47" t="s">
        <v>737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B78"/>
  <sheetViews>
    <sheetView topLeftCell="A49" workbookViewId="0">
      <selection activeCell="H18" sqref="H18"/>
    </sheetView>
  </sheetViews>
  <sheetFormatPr defaultRowHeight="13.8"/>
  <cols>
    <col min="1" max="1" width="16.796875" customWidth="1"/>
  </cols>
  <sheetData>
    <row r="1" spans="1:2">
      <c r="A1" s="12" t="s">
        <v>57</v>
      </c>
      <c r="B1" s="12" t="s">
        <v>616</v>
      </c>
    </row>
    <row r="2" spans="1:2">
      <c r="A2" t="s">
        <v>58</v>
      </c>
    </row>
    <row r="3" spans="1:2">
      <c r="A3" t="s">
        <v>59</v>
      </c>
    </row>
    <row r="4" spans="1:2">
      <c r="A4" t="s">
        <v>562</v>
      </c>
      <c r="B4">
        <v>15</v>
      </c>
    </row>
    <row r="5" spans="1:2">
      <c r="A5" t="s">
        <v>615</v>
      </c>
      <c r="B5">
        <v>10</v>
      </c>
    </row>
    <row r="6" spans="1:2">
      <c r="A6" t="s">
        <v>617</v>
      </c>
      <c r="B6">
        <v>6</v>
      </c>
    </row>
    <row r="7" spans="1:2">
      <c r="A7" t="s">
        <v>618</v>
      </c>
      <c r="B7" t="s">
        <v>629</v>
      </c>
    </row>
    <row r="8" spans="1:2">
      <c r="A8" t="s">
        <v>619</v>
      </c>
      <c r="B8" t="s">
        <v>624</v>
      </c>
    </row>
    <row r="9" spans="1:2">
      <c r="A9" t="s">
        <v>620</v>
      </c>
      <c r="B9">
        <v>3</v>
      </c>
    </row>
    <row r="10" spans="1:2">
      <c r="A10" t="s">
        <v>621</v>
      </c>
      <c r="B10">
        <v>14</v>
      </c>
    </row>
    <row r="11" spans="1:2">
      <c r="A11" t="s">
        <v>622</v>
      </c>
      <c r="B11">
        <v>10</v>
      </c>
    </row>
    <row r="12" spans="1:2">
      <c r="A12" t="s">
        <v>615</v>
      </c>
      <c r="B12">
        <v>12</v>
      </c>
    </row>
    <row r="13" spans="1:2">
      <c r="A13" t="s">
        <v>623</v>
      </c>
      <c r="B13">
        <v>100</v>
      </c>
    </row>
    <row r="14" spans="1:2">
      <c r="A14" t="s">
        <v>623</v>
      </c>
      <c r="B14">
        <v>20</v>
      </c>
    </row>
    <row r="15" spans="1:2">
      <c r="A15" t="s">
        <v>625</v>
      </c>
      <c r="B15">
        <v>4</v>
      </c>
    </row>
    <row r="16" spans="1:2">
      <c r="A16" t="s">
        <v>626</v>
      </c>
      <c r="B16">
        <v>10</v>
      </c>
    </row>
    <row r="17" spans="1:2">
      <c r="A17" t="s">
        <v>627</v>
      </c>
      <c r="B17">
        <v>12</v>
      </c>
    </row>
    <row r="18" spans="1:2">
      <c r="A18" t="s">
        <v>628</v>
      </c>
      <c r="B18">
        <v>8</v>
      </c>
    </row>
    <row r="19" spans="1:2">
      <c r="A19" t="s">
        <v>627</v>
      </c>
      <c r="B19">
        <v>30</v>
      </c>
    </row>
    <row r="20" spans="1:2">
      <c r="A20" t="s">
        <v>630</v>
      </c>
      <c r="B20">
        <v>15</v>
      </c>
    </row>
    <row r="21" spans="1:2">
      <c r="A21" t="s">
        <v>631</v>
      </c>
      <c r="B21">
        <v>36</v>
      </c>
    </row>
    <row r="22" spans="1:2">
      <c r="A22" t="s">
        <v>632</v>
      </c>
      <c r="B22">
        <v>8</v>
      </c>
    </row>
    <row r="23" spans="1:2">
      <c r="A23" t="s">
        <v>633</v>
      </c>
      <c r="B23">
        <v>8</v>
      </c>
    </row>
    <row r="24" spans="1:2">
      <c r="A24" t="s">
        <v>617</v>
      </c>
      <c r="B24">
        <v>9</v>
      </c>
    </row>
    <row r="25" spans="1:2">
      <c r="A25" t="s">
        <v>615</v>
      </c>
      <c r="B25">
        <v>20</v>
      </c>
    </row>
    <row r="26" spans="1:2">
      <c r="A26" t="s">
        <v>625</v>
      </c>
      <c r="B26">
        <v>6</v>
      </c>
    </row>
    <row r="27" spans="1:2">
      <c r="A27" t="s">
        <v>633</v>
      </c>
      <c r="B27">
        <v>4</v>
      </c>
    </row>
    <row r="28" spans="1:2">
      <c r="A28" t="s">
        <v>620</v>
      </c>
      <c r="B28">
        <v>20</v>
      </c>
    </row>
    <row r="29" spans="1:2">
      <c r="A29" t="s">
        <v>634</v>
      </c>
      <c r="B29">
        <v>8</v>
      </c>
    </row>
    <row r="30" spans="1:2">
      <c r="A30" t="s">
        <v>617</v>
      </c>
      <c r="B30">
        <v>20</v>
      </c>
    </row>
    <row r="31" spans="1:2">
      <c r="A31" t="s">
        <v>635</v>
      </c>
      <c r="B31">
        <v>7</v>
      </c>
    </row>
    <row r="32" spans="1:2">
      <c r="A32" t="s">
        <v>636</v>
      </c>
      <c r="B32">
        <v>20</v>
      </c>
    </row>
    <row r="33" spans="1:2">
      <c r="A33" t="s">
        <v>637</v>
      </c>
      <c r="B33">
        <v>20</v>
      </c>
    </row>
    <row r="34" spans="1:2">
      <c r="A34" t="s">
        <v>638</v>
      </c>
      <c r="B34">
        <v>15</v>
      </c>
    </row>
    <row r="35" spans="1:2">
      <c r="A35" t="s">
        <v>639</v>
      </c>
      <c r="B35">
        <v>8</v>
      </c>
    </row>
    <row r="36" spans="1:2">
      <c r="A36" t="s">
        <v>640</v>
      </c>
      <c r="B36">
        <v>100</v>
      </c>
    </row>
    <row r="37" spans="1:2">
      <c r="A37" t="s">
        <v>636</v>
      </c>
      <c r="B37">
        <v>10</v>
      </c>
    </row>
    <row r="38" spans="1:2">
      <c r="A38" t="s">
        <v>643</v>
      </c>
      <c r="B38" t="s">
        <v>650</v>
      </c>
    </row>
    <row r="39" spans="1:2">
      <c r="A39" t="s">
        <v>644</v>
      </c>
      <c r="B39">
        <v>9</v>
      </c>
    </row>
    <row r="40" spans="1:2">
      <c r="A40" t="s">
        <v>645</v>
      </c>
      <c r="B40">
        <v>200</v>
      </c>
    </row>
    <row r="41" spans="1:2">
      <c r="A41" t="s">
        <v>646</v>
      </c>
      <c r="B41">
        <v>7</v>
      </c>
    </row>
    <row r="42" spans="1:2">
      <c r="A42" t="s">
        <v>647</v>
      </c>
      <c r="B42" t="s">
        <v>649</v>
      </c>
    </row>
    <row r="43" spans="1:2">
      <c r="A43" t="s">
        <v>648</v>
      </c>
      <c r="B43">
        <v>7</v>
      </c>
    </row>
    <row r="44" spans="1:2">
      <c r="A44" t="s">
        <v>646</v>
      </c>
      <c r="B44">
        <v>10</v>
      </c>
    </row>
    <row r="45" spans="1:2">
      <c r="A45" t="s">
        <v>651</v>
      </c>
      <c r="B45">
        <v>30</v>
      </c>
    </row>
    <row r="46" spans="1:2">
      <c r="A46" s="34" t="s">
        <v>656</v>
      </c>
      <c r="B46" s="34">
        <v>45</v>
      </c>
    </row>
    <row r="47" spans="1:2">
      <c r="A47" s="34" t="s">
        <v>657</v>
      </c>
      <c r="B47" s="34">
        <v>6</v>
      </c>
    </row>
    <row r="48" spans="1:2">
      <c r="A48" s="34" t="s">
        <v>658</v>
      </c>
      <c r="B48" s="34">
        <v>44</v>
      </c>
    </row>
    <row r="49" spans="1:2">
      <c r="A49" s="34" t="s">
        <v>659</v>
      </c>
      <c r="B49" s="34">
        <v>45</v>
      </c>
    </row>
    <row r="50" spans="1:2">
      <c r="A50" s="34" t="s">
        <v>660</v>
      </c>
      <c r="B50" s="34">
        <v>118</v>
      </c>
    </row>
    <row r="51" spans="1:2">
      <c r="A51" s="34" t="s">
        <v>661</v>
      </c>
      <c r="B51" s="34">
        <v>7</v>
      </c>
    </row>
    <row r="52" spans="1:2">
      <c r="A52" s="34" t="s">
        <v>662</v>
      </c>
      <c r="B52" s="34">
        <v>100</v>
      </c>
    </row>
    <row r="53" spans="1:2">
      <c r="A53" s="34" t="s">
        <v>663</v>
      </c>
      <c r="B53" s="34">
        <v>18</v>
      </c>
    </row>
    <row r="54" spans="1:2">
      <c r="A54" s="34" t="s">
        <v>664</v>
      </c>
      <c r="B54" s="34">
        <v>32</v>
      </c>
    </row>
    <row r="55" spans="1:2">
      <c r="A55" s="34" t="s">
        <v>665</v>
      </c>
      <c r="B55" s="34">
        <v>22</v>
      </c>
    </row>
    <row r="56" spans="1:2">
      <c r="A56" s="34" t="s">
        <v>666</v>
      </c>
      <c r="B56" s="34">
        <v>18</v>
      </c>
    </row>
    <row r="57" spans="1:2">
      <c r="A57" s="34" t="s">
        <v>667</v>
      </c>
      <c r="B57" s="34">
        <v>18</v>
      </c>
    </row>
    <row r="58" spans="1:2">
      <c r="A58" s="34" t="s">
        <v>668</v>
      </c>
      <c r="B58" s="34">
        <v>7</v>
      </c>
    </row>
    <row r="59" spans="1:2">
      <c r="A59" s="34" t="s">
        <v>669</v>
      </c>
      <c r="B59" s="34">
        <v>13</v>
      </c>
    </row>
    <row r="60" spans="1:2">
      <c r="A60" s="34" t="s">
        <v>670</v>
      </c>
      <c r="B60" s="34">
        <v>17</v>
      </c>
    </row>
    <row r="61" spans="1:2">
      <c r="A61" s="34" t="s">
        <v>671</v>
      </c>
      <c r="B61" s="34">
        <v>20</v>
      </c>
    </row>
    <row r="62" spans="1:2">
      <c r="A62" s="34" t="s">
        <v>672</v>
      </c>
      <c r="B62" s="34">
        <v>8</v>
      </c>
    </row>
    <row r="63" spans="1:2">
      <c r="A63" s="34" t="s">
        <v>673</v>
      </c>
      <c r="B63" s="34">
        <v>2</v>
      </c>
    </row>
    <row r="64" spans="1:2">
      <c r="A64" s="34" t="s">
        <v>674</v>
      </c>
      <c r="B64" s="34">
        <v>30</v>
      </c>
    </row>
    <row r="65" spans="1:2">
      <c r="A65" s="34" t="s">
        <v>675</v>
      </c>
      <c r="B65" s="34">
        <v>18</v>
      </c>
    </row>
    <row r="66" spans="1:2">
      <c r="A66" s="34" t="s">
        <v>676</v>
      </c>
      <c r="B66" s="34">
        <v>78</v>
      </c>
    </row>
    <row r="67" spans="1:2">
      <c r="A67" s="34" t="s">
        <v>677</v>
      </c>
      <c r="B67" s="34">
        <v>10</v>
      </c>
    </row>
    <row r="68" spans="1:2">
      <c r="A68" s="34" t="s">
        <v>678</v>
      </c>
      <c r="B68" s="34">
        <v>12</v>
      </c>
    </row>
    <row r="69" spans="1:2">
      <c r="A69" s="34" t="s">
        <v>679</v>
      </c>
      <c r="B69" s="34">
        <v>14</v>
      </c>
    </row>
    <row r="70" spans="1:2">
      <c r="A70" s="34" t="s">
        <v>680</v>
      </c>
      <c r="B70" s="34">
        <v>1</v>
      </c>
    </row>
    <row r="71" spans="1:2">
      <c r="A71" s="34" t="s">
        <v>681</v>
      </c>
      <c r="B71" s="34">
        <v>47</v>
      </c>
    </row>
    <row r="72" spans="1:2">
      <c r="A72" s="34" t="s">
        <v>682</v>
      </c>
      <c r="B72" s="34">
        <v>25</v>
      </c>
    </row>
    <row r="73" spans="1:2">
      <c r="A73" s="34" t="s">
        <v>683</v>
      </c>
      <c r="B73" s="34">
        <v>21</v>
      </c>
    </row>
    <row r="74" spans="1:2">
      <c r="A74" s="34" t="s">
        <v>684</v>
      </c>
      <c r="B74" s="34">
        <v>7</v>
      </c>
    </row>
    <row r="75" spans="1:2">
      <c r="A75" s="34" t="s">
        <v>685</v>
      </c>
      <c r="B75" s="34">
        <v>31</v>
      </c>
    </row>
    <row r="76" spans="1:2">
      <c r="A76" s="34" t="s">
        <v>686</v>
      </c>
      <c r="B76" s="34">
        <v>33</v>
      </c>
    </row>
    <row r="77" spans="1:2">
      <c r="A77" s="34" t="s">
        <v>962</v>
      </c>
      <c r="B77" s="34">
        <v>2</v>
      </c>
    </row>
    <row r="78" spans="1:2">
      <c r="A78" s="34" t="s">
        <v>963</v>
      </c>
      <c r="B78" s="34">
        <v>10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D64"/>
  <sheetViews>
    <sheetView workbookViewId="0">
      <selection activeCell="F16" sqref="F16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</cols>
  <sheetData>
    <row r="1" spans="1:4">
      <c r="A1" s="10" t="s">
        <v>138</v>
      </c>
      <c r="B1" s="32" t="s">
        <v>542</v>
      </c>
      <c r="C1" s="10" t="s">
        <v>540</v>
      </c>
    </row>
    <row r="2" spans="1:4">
      <c r="A2" s="47" t="s">
        <v>139</v>
      </c>
      <c r="B2" s="55" t="s">
        <v>554</v>
      </c>
      <c r="C2" s="47" t="s">
        <v>580</v>
      </c>
      <c r="D2" s="47"/>
    </row>
    <row r="3" spans="1:4">
      <c r="A3" s="47" t="s">
        <v>140</v>
      </c>
      <c r="B3" s="55" t="s">
        <v>579</v>
      </c>
      <c r="C3" s="47">
        <v>20</v>
      </c>
      <c r="D3" s="47"/>
    </row>
    <row r="4" spans="1:4">
      <c r="A4" s="47" t="s">
        <v>141</v>
      </c>
      <c r="B4" s="55"/>
      <c r="C4" s="47">
        <v>0</v>
      </c>
      <c r="D4" s="47"/>
    </row>
    <row r="5" spans="1:4">
      <c r="A5" s="47" t="s">
        <v>142</v>
      </c>
      <c r="B5" s="55" t="s">
        <v>546</v>
      </c>
      <c r="C5" s="47">
        <v>9</v>
      </c>
      <c r="D5" s="47"/>
    </row>
    <row r="6" spans="1:4">
      <c r="A6" s="47" t="s">
        <v>143</v>
      </c>
      <c r="B6" s="55"/>
      <c r="C6" s="47">
        <v>30</v>
      </c>
      <c r="D6" s="47"/>
    </row>
    <row r="7" spans="1:4">
      <c r="A7" s="47" t="s">
        <v>144</v>
      </c>
      <c r="B7" s="55" t="s">
        <v>544</v>
      </c>
      <c r="C7" s="47">
        <v>11</v>
      </c>
      <c r="D7" s="47"/>
    </row>
    <row r="8" spans="1:4">
      <c r="A8" s="47" t="s">
        <v>145</v>
      </c>
      <c r="B8" s="55"/>
      <c r="C8" s="47">
        <v>20</v>
      </c>
      <c r="D8" s="47"/>
    </row>
    <row r="9" spans="1:4">
      <c r="A9" s="47" t="s">
        <v>146</v>
      </c>
      <c r="B9" s="55"/>
      <c r="C9" s="47">
        <v>2</v>
      </c>
      <c r="D9" s="47"/>
    </row>
    <row r="10" spans="1:4">
      <c r="A10" s="47" t="s">
        <v>147</v>
      </c>
      <c r="B10" s="55"/>
      <c r="C10" s="47">
        <v>20</v>
      </c>
      <c r="D10" s="47"/>
    </row>
    <row r="11" spans="1:4">
      <c r="A11" s="47" t="s">
        <v>148</v>
      </c>
      <c r="B11" s="55"/>
      <c r="C11" s="47" t="s">
        <v>581</v>
      </c>
      <c r="D11" s="47"/>
    </row>
    <row r="12" spans="1:4">
      <c r="A12" s="47" t="s">
        <v>149</v>
      </c>
      <c r="B12" s="55"/>
      <c r="C12" s="47">
        <v>2</v>
      </c>
      <c r="D12" s="47"/>
    </row>
    <row r="13" spans="1:4">
      <c r="A13" s="47" t="s">
        <v>150</v>
      </c>
      <c r="B13" s="55"/>
      <c r="C13" s="47">
        <v>5</v>
      </c>
      <c r="D13" s="47"/>
    </row>
    <row r="14" spans="1:4">
      <c r="A14" s="47" t="s">
        <v>153</v>
      </c>
      <c r="B14" s="55"/>
      <c r="C14" s="47">
        <v>4</v>
      </c>
      <c r="D14" s="47"/>
    </row>
    <row r="15" spans="1:4">
      <c r="A15" s="47" t="s">
        <v>151</v>
      </c>
      <c r="B15" s="55"/>
      <c r="C15" s="47">
        <v>40</v>
      </c>
      <c r="D15" s="47"/>
    </row>
    <row r="16" spans="1:4">
      <c r="A16" s="47" t="s">
        <v>152</v>
      </c>
      <c r="B16" s="55"/>
      <c r="C16" s="47">
        <v>9</v>
      </c>
      <c r="D16" s="47"/>
    </row>
    <row r="17" spans="1:4">
      <c r="A17" s="47" t="s">
        <v>541</v>
      </c>
      <c r="B17" s="55" t="s">
        <v>544</v>
      </c>
      <c r="C17" s="47">
        <v>8</v>
      </c>
      <c r="D17" s="47"/>
    </row>
    <row r="18" spans="1:4">
      <c r="A18" s="47" t="s">
        <v>154</v>
      </c>
      <c r="B18" s="55"/>
      <c r="C18" s="47">
        <v>43</v>
      </c>
      <c r="D18" s="47"/>
    </row>
    <row r="19" spans="1:4">
      <c r="A19" s="47" t="s">
        <v>155</v>
      </c>
      <c r="B19" s="55"/>
      <c r="C19" s="47">
        <v>1</v>
      </c>
      <c r="D19" s="47"/>
    </row>
    <row r="20" spans="1:4">
      <c r="A20" s="47" t="s">
        <v>156</v>
      </c>
      <c r="B20" s="55"/>
      <c r="C20" s="47">
        <v>1</v>
      </c>
      <c r="D20" s="47"/>
    </row>
    <row r="21" spans="1:4">
      <c r="A21" s="47" t="s">
        <v>157</v>
      </c>
      <c r="B21" s="55"/>
      <c r="C21" s="47">
        <v>3</v>
      </c>
      <c r="D21" s="47"/>
    </row>
    <row r="22" spans="1:4">
      <c r="A22" s="47" t="s">
        <v>158</v>
      </c>
      <c r="B22" s="55"/>
      <c r="C22" s="47">
        <v>1</v>
      </c>
      <c r="D22" s="47"/>
    </row>
    <row r="23" spans="1:4">
      <c r="A23" s="47" t="s">
        <v>159</v>
      </c>
      <c r="B23" s="55"/>
      <c r="C23" s="47">
        <v>5</v>
      </c>
      <c r="D23" s="47"/>
    </row>
    <row r="24" spans="1:4">
      <c r="A24" s="47" t="s">
        <v>160</v>
      </c>
      <c r="B24" s="55"/>
      <c r="C24" s="47">
        <v>0</v>
      </c>
      <c r="D24" s="47"/>
    </row>
    <row r="25" spans="1:4">
      <c r="A25" s="47" t="s">
        <v>161</v>
      </c>
      <c r="B25" s="55"/>
      <c r="C25" s="47">
        <v>5</v>
      </c>
      <c r="D25" s="47"/>
    </row>
    <row r="26" spans="1:4">
      <c r="A26" s="47" t="s">
        <v>162</v>
      </c>
      <c r="B26" s="55"/>
      <c r="C26" s="47">
        <v>4</v>
      </c>
      <c r="D26" s="47"/>
    </row>
    <row r="27" spans="1:4">
      <c r="A27" s="47" t="s">
        <v>163</v>
      </c>
      <c r="B27" s="55"/>
      <c r="C27" s="47">
        <v>2</v>
      </c>
      <c r="D27" s="47"/>
    </row>
    <row r="28" spans="1:4">
      <c r="A28" s="47" t="s">
        <v>164</v>
      </c>
      <c r="B28" s="55"/>
      <c r="C28" s="47">
        <v>3</v>
      </c>
      <c r="D28" s="47"/>
    </row>
    <row r="29" spans="1:4">
      <c r="A29" s="47" t="s">
        <v>165</v>
      </c>
      <c r="B29" s="55"/>
      <c r="C29" s="47">
        <v>18</v>
      </c>
      <c r="D29" s="47"/>
    </row>
    <row r="30" spans="1:4">
      <c r="A30" s="47" t="s">
        <v>166</v>
      </c>
      <c r="B30" s="55"/>
      <c r="C30" s="47">
        <v>4</v>
      </c>
      <c r="D30" s="47"/>
    </row>
    <row r="31" spans="1:4">
      <c r="A31" s="47" t="s">
        <v>167</v>
      </c>
      <c r="B31" s="55"/>
      <c r="C31" s="47">
        <v>10</v>
      </c>
      <c r="D31" s="47"/>
    </row>
    <row r="32" spans="1:4">
      <c r="A32" s="47" t="s">
        <v>168</v>
      </c>
      <c r="B32" s="55"/>
      <c r="C32" s="47">
        <v>2</v>
      </c>
      <c r="D32" s="47"/>
    </row>
    <row r="33" spans="1:4">
      <c r="A33" s="47" t="s">
        <v>543</v>
      </c>
      <c r="B33" s="55" t="s">
        <v>544</v>
      </c>
      <c r="C33" s="47">
        <v>15</v>
      </c>
      <c r="D33" s="47"/>
    </row>
    <row r="34" spans="1:4">
      <c r="A34" s="47" t="s">
        <v>545</v>
      </c>
      <c r="B34" s="55" t="s">
        <v>546</v>
      </c>
      <c r="C34" s="47">
        <v>3</v>
      </c>
      <c r="D34" s="47"/>
    </row>
    <row r="35" spans="1:4">
      <c r="A35" s="47" t="s">
        <v>547</v>
      </c>
      <c r="B35" s="55" t="s">
        <v>544</v>
      </c>
      <c r="C35" s="47">
        <v>5</v>
      </c>
      <c r="D35" s="47"/>
    </row>
    <row r="36" spans="1:4">
      <c r="A36" s="47" t="s">
        <v>548</v>
      </c>
      <c r="B36" s="55"/>
      <c r="C36" s="47">
        <v>2</v>
      </c>
      <c r="D36" s="47"/>
    </row>
    <row r="37" spans="1:4">
      <c r="A37" s="47" t="s">
        <v>549</v>
      </c>
      <c r="B37" s="55"/>
      <c r="C37" s="47">
        <v>15</v>
      </c>
      <c r="D37" s="47"/>
    </row>
    <row r="38" spans="1:4">
      <c r="A38" s="47" t="s">
        <v>555</v>
      </c>
      <c r="B38" s="55" t="s">
        <v>556</v>
      </c>
      <c r="C38" s="47">
        <v>11</v>
      </c>
      <c r="D38" s="47"/>
    </row>
    <row r="39" spans="1:4">
      <c r="A39" s="47" t="s">
        <v>557</v>
      </c>
      <c r="B39" s="55" t="s">
        <v>556</v>
      </c>
      <c r="C39" s="47">
        <v>3</v>
      </c>
      <c r="D39" s="47"/>
    </row>
    <row r="40" spans="1:4">
      <c r="A40" s="47" t="s">
        <v>593</v>
      </c>
      <c r="B40" s="55"/>
      <c r="C40" s="47">
        <v>5</v>
      </c>
      <c r="D40" s="47"/>
    </row>
    <row r="41" spans="1:4">
      <c r="A41" s="29" t="s">
        <v>594</v>
      </c>
      <c r="B41" s="55"/>
      <c r="C41" s="47">
        <v>5</v>
      </c>
      <c r="D41" s="47"/>
    </row>
    <row r="42" spans="1:4">
      <c r="A42" s="29" t="s">
        <v>595</v>
      </c>
      <c r="B42" s="55"/>
      <c r="C42" s="47">
        <v>120</v>
      </c>
      <c r="D42" s="47"/>
    </row>
    <row r="43" spans="1:4">
      <c r="A43" s="29" t="s">
        <v>596</v>
      </c>
      <c r="B43" s="56"/>
      <c r="C43" s="29">
        <v>41</v>
      </c>
      <c r="D43" s="47"/>
    </row>
    <row r="44" spans="1:4">
      <c r="A44" s="29" t="s">
        <v>597</v>
      </c>
      <c r="B44" s="56"/>
      <c r="C44" s="29">
        <v>1</v>
      </c>
      <c r="D44" s="47"/>
    </row>
    <row r="45" spans="1:4">
      <c r="A45" s="29" t="s">
        <v>598</v>
      </c>
      <c r="B45" s="56"/>
      <c r="C45" s="29">
        <v>4</v>
      </c>
      <c r="D45" s="47"/>
    </row>
    <row r="46" spans="1:4">
      <c r="A46" s="29" t="s">
        <v>599</v>
      </c>
      <c r="B46" s="56"/>
      <c r="C46" s="29">
        <v>18</v>
      </c>
      <c r="D46" s="47"/>
    </row>
    <row r="47" spans="1:4">
      <c r="A47" s="29" t="s">
        <v>600</v>
      </c>
      <c r="B47" s="56" t="s">
        <v>609</v>
      </c>
      <c r="C47" s="29">
        <v>115</v>
      </c>
      <c r="D47" s="47"/>
    </row>
    <row r="48" spans="1:4">
      <c r="A48" s="29" t="s">
        <v>601</v>
      </c>
      <c r="B48" s="56"/>
      <c r="C48" s="29">
        <v>2</v>
      </c>
      <c r="D48" s="47"/>
    </row>
    <row r="49" spans="1:4">
      <c r="A49" s="29" t="s">
        <v>602</v>
      </c>
      <c r="B49" s="56"/>
      <c r="C49" s="29">
        <v>20</v>
      </c>
      <c r="D49" s="47"/>
    </row>
    <row r="50" spans="1:4">
      <c r="A50" s="29" t="s">
        <v>603</v>
      </c>
      <c r="B50" s="56"/>
      <c r="C50" s="29">
        <v>24</v>
      </c>
      <c r="D50" s="47"/>
    </row>
    <row r="51" spans="1:4">
      <c r="A51" s="29" t="s">
        <v>604</v>
      </c>
      <c r="B51" s="56"/>
      <c r="C51" s="29">
        <v>15</v>
      </c>
      <c r="D51" s="47"/>
    </row>
    <row r="52" spans="1:4">
      <c r="A52" s="29" t="s">
        <v>605</v>
      </c>
      <c r="B52" s="56"/>
      <c r="C52" s="29">
        <v>18</v>
      </c>
      <c r="D52" s="47"/>
    </row>
    <row r="53" spans="1:4">
      <c r="A53" s="29" t="s">
        <v>606</v>
      </c>
      <c r="B53" s="56"/>
      <c r="C53" s="29">
        <v>20</v>
      </c>
      <c r="D53" s="47"/>
    </row>
    <row r="54" spans="1:4">
      <c r="A54" s="29" t="s">
        <v>607</v>
      </c>
      <c r="B54" s="56"/>
      <c r="C54" s="29">
        <v>16</v>
      </c>
      <c r="D54" s="47"/>
    </row>
    <row r="55" spans="1:4">
      <c r="A55" s="29" t="s">
        <v>608</v>
      </c>
      <c r="B55" s="56"/>
      <c r="C55" s="29">
        <v>10</v>
      </c>
      <c r="D55" s="47"/>
    </row>
    <row r="56" spans="1:4">
      <c r="A56" s="29" t="s">
        <v>549</v>
      </c>
      <c r="B56" s="55"/>
      <c r="C56" s="29">
        <v>50</v>
      </c>
      <c r="D56" s="47"/>
    </row>
    <row r="57" spans="1:4">
      <c r="A57" s="56" t="s">
        <v>652</v>
      </c>
      <c r="B57" s="55"/>
      <c r="C57" s="56" t="s">
        <v>653</v>
      </c>
      <c r="D57" s="47"/>
    </row>
    <row r="58" spans="1:4">
      <c r="A58" s="56" t="s">
        <v>143</v>
      </c>
      <c r="B58" s="55"/>
      <c r="C58" s="56">
        <v>3</v>
      </c>
      <c r="D58" s="47"/>
    </row>
    <row r="59" spans="1:4">
      <c r="A59" s="56" t="s">
        <v>654</v>
      </c>
      <c r="B59" s="55"/>
      <c r="C59" s="56">
        <v>10</v>
      </c>
      <c r="D59" s="47"/>
    </row>
    <row r="60" spans="1:4">
      <c r="A60" s="56" t="s">
        <v>543</v>
      </c>
      <c r="B60" s="55"/>
      <c r="C60" s="56">
        <v>20</v>
      </c>
      <c r="D60" s="47"/>
    </row>
    <row r="61" spans="1:4">
      <c r="A61" s="56" t="s">
        <v>545</v>
      </c>
      <c r="B61" s="55"/>
      <c r="C61" s="56">
        <v>3</v>
      </c>
      <c r="D61" s="47"/>
    </row>
    <row r="62" spans="1:4">
      <c r="A62" s="56" t="s">
        <v>142</v>
      </c>
      <c r="B62" s="55"/>
      <c r="C62" s="56">
        <v>15</v>
      </c>
      <c r="D62" s="47"/>
    </row>
    <row r="63" spans="1:4">
      <c r="A63" s="56" t="s">
        <v>655</v>
      </c>
      <c r="B63" s="55"/>
      <c r="C63" s="56">
        <v>6</v>
      </c>
      <c r="D63" s="47"/>
    </row>
    <row r="64" spans="1:4">
      <c r="A64" s="47"/>
      <c r="B64" s="55"/>
      <c r="C64" s="47"/>
      <c r="D64" s="47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C30"/>
  <sheetViews>
    <sheetView workbookViewId="0">
      <selection activeCell="H18" sqref="H18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3">
      <c r="A1" s="11" t="s">
        <v>36</v>
      </c>
      <c r="B1" s="11" t="s">
        <v>542</v>
      </c>
      <c r="C1" s="31" t="s">
        <v>610</v>
      </c>
    </row>
    <row r="2" spans="1:3">
      <c r="A2" t="s">
        <v>37</v>
      </c>
      <c r="C2">
        <v>5</v>
      </c>
    </row>
    <row r="3" spans="1:3">
      <c r="A3" t="s">
        <v>38</v>
      </c>
      <c r="C3">
        <v>5</v>
      </c>
    </row>
    <row r="4" spans="1:3">
      <c r="A4" t="s">
        <v>39</v>
      </c>
      <c r="C4">
        <v>5</v>
      </c>
    </row>
    <row r="5" spans="1:3">
      <c r="A5" t="s">
        <v>40</v>
      </c>
      <c r="C5">
        <v>5</v>
      </c>
    </row>
    <row r="6" spans="1:3">
      <c r="A6" t="s">
        <v>41</v>
      </c>
      <c r="C6">
        <v>5</v>
      </c>
    </row>
    <row r="7" spans="1:3">
      <c r="A7" t="s">
        <v>42</v>
      </c>
      <c r="C7">
        <v>5</v>
      </c>
    </row>
    <row r="8" spans="1:3">
      <c r="A8" t="s">
        <v>43</v>
      </c>
      <c r="C8">
        <v>5</v>
      </c>
    </row>
    <row r="9" spans="1:3">
      <c r="A9" t="s">
        <v>44</v>
      </c>
      <c r="C9">
        <v>5</v>
      </c>
    </row>
    <row r="10" spans="1:3">
      <c r="A10" t="s">
        <v>75</v>
      </c>
    </row>
    <row r="11" spans="1:3">
      <c r="A11" t="s">
        <v>553</v>
      </c>
      <c r="B11" t="s">
        <v>561</v>
      </c>
      <c r="C11">
        <v>30</v>
      </c>
    </row>
    <row r="12" spans="1:3">
      <c r="A12" t="s">
        <v>558</v>
      </c>
      <c r="B12" t="s">
        <v>561</v>
      </c>
      <c r="C12">
        <v>9</v>
      </c>
    </row>
    <row r="13" spans="1:3">
      <c r="A13" t="s">
        <v>559</v>
      </c>
      <c r="B13" t="s">
        <v>561</v>
      </c>
      <c r="C13">
        <v>15</v>
      </c>
    </row>
    <row r="14" spans="1:3">
      <c r="A14" t="s">
        <v>560</v>
      </c>
      <c r="B14" t="s">
        <v>561</v>
      </c>
      <c r="C14">
        <v>20</v>
      </c>
    </row>
    <row r="15" spans="1:3">
      <c r="A15" t="s">
        <v>563</v>
      </c>
      <c r="B15" t="s">
        <v>544</v>
      </c>
      <c r="C15">
        <v>7</v>
      </c>
    </row>
    <row r="16" spans="1:3">
      <c r="A16" t="s">
        <v>564</v>
      </c>
      <c r="B16" t="s">
        <v>544</v>
      </c>
      <c r="C16">
        <v>15</v>
      </c>
    </row>
    <row r="17" spans="1:3">
      <c r="A17" t="s">
        <v>564</v>
      </c>
      <c r="B17" t="s">
        <v>544</v>
      </c>
      <c r="C17">
        <v>15</v>
      </c>
    </row>
    <row r="18" spans="1:3">
      <c r="A18" t="s">
        <v>565</v>
      </c>
      <c r="B18" t="s">
        <v>561</v>
      </c>
      <c r="C18">
        <v>30</v>
      </c>
    </row>
    <row r="19" spans="1:3">
      <c r="A19" t="s">
        <v>568</v>
      </c>
      <c r="B19" t="s">
        <v>544</v>
      </c>
      <c r="C19">
        <v>15</v>
      </c>
    </row>
    <row r="20" spans="1:3">
      <c r="A20" t="s">
        <v>563</v>
      </c>
      <c r="B20" t="s">
        <v>544</v>
      </c>
      <c r="C20">
        <v>150</v>
      </c>
    </row>
    <row r="21" spans="1:3">
      <c r="A21" t="s">
        <v>569</v>
      </c>
      <c r="B21" t="s">
        <v>561</v>
      </c>
      <c r="C21">
        <v>10</v>
      </c>
    </row>
    <row r="22" spans="1:3">
      <c r="A22" t="s">
        <v>570</v>
      </c>
      <c r="C22">
        <v>2</v>
      </c>
    </row>
    <row r="23" spans="1:3">
      <c r="A23" t="s">
        <v>565</v>
      </c>
      <c r="B23" t="s">
        <v>544</v>
      </c>
      <c r="C23">
        <v>15</v>
      </c>
    </row>
    <row r="24" spans="1:3">
      <c r="A24" s="7" t="s">
        <v>583</v>
      </c>
      <c r="B24" s="7" t="s">
        <v>584</v>
      </c>
      <c r="C24" s="7">
        <v>3</v>
      </c>
    </row>
    <row r="25" spans="1:3">
      <c r="A25" s="7" t="s">
        <v>585</v>
      </c>
      <c r="B25" s="7" t="s">
        <v>584</v>
      </c>
      <c r="C25" s="7">
        <v>4</v>
      </c>
    </row>
    <row r="26" spans="1:3">
      <c r="A26" s="7" t="s">
        <v>586</v>
      </c>
      <c r="B26" s="7" t="s">
        <v>587</v>
      </c>
      <c r="C26" s="7">
        <v>54</v>
      </c>
    </row>
    <row r="27" spans="1:3">
      <c r="A27" s="7" t="s">
        <v>588</v>
      </c>
      <c r="B27" s="7" t="s">
        <v>584</v>
      </c>
      <c r="C27" s="7">
        <v>20</v>
      </c>
    </row>
    <row r="28" spans="1:3">
      <c r="A28" s="7" t="s">
        <v>589</v>
      </c>
      <c r="B28" s="7" t="s">
        <v>584</v>
      </c>
      <c r="C28" s="7">
        <v>6</v>
      </c>
    </row>
    <row r="29" spans="1:3">
      <c r="A29" s="7" t="s">
        <v>590</v>
      </c>
      <c r="B29" s="7" t="s">
        <v>591</v>
      </c>
      <c r="C29" s="7">
        <v>14</v>
      </c>
    </row>
    <row r="30" spans="1:3">
      <c r="A30" s="7" t="s">
        <v>592</v>
      </c>
      <c r="B30" s="7" t="s">
        <v>584</v>
      </c>
      <c r="C30" s="7">
        <v>15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C29"/>
  <sheetViews>
    <sheetView topLeftCell="A10" workbookViewId="0">
      <selection activeCell="C12" sqref="C12"/>
    </sheetView>
  </sheetViews>
  <sheetFormatPr defaultRowHeight="13.8"/>
  <cols>
    <col min="1" max="1" width="18.296875" customWidth="1"/>
    <col min="2" max="2" width="11.59765625" customWidth="1"/>
    <col min="3" max="3" width="9.3984375" customWidth="1"/>
  </cols>
  <sheetData>
    <row r="1" spans="1:3">
      <c r="A1" s="30" t="s">
        <v>611</v>
      </c>
      <c r="B1" s="10" t="s">
        <v>542</v>
      </c>
      <c r="C1" s="10" t="s">
        <v>610</v>
      </c>
    </row>
    <row r="2" spans="1:3">
      <c r="A2" s="17" t="s">
        <v>566</v>
      </c>
      <c r="B2" t="s">
        <v>561</v>
      </c>
      <c r="C2">
        <v>10</v>
      </c>
    </row>
    <row r="3" spans="1:3">
      <c r="A3" s="17" t="s">
        <v>567</v>
      </c>
      <c r="B3" t="s">
        <v>561</v>
      </c>
      <c r="C3">
        <v>10</v>
      </c>
    </row>
    <row r="4" spans="1:3">
      <c r="A4" s="17" t="s">
        <v>571</v>
      </c>
      <c r="C4">
        <v>2</v>
      </c>
    </row>
    <row r="5" spans="1:3">
      <c r="A5" s="17" t="s">
        <v>572</v>
      </c>
      <c r="B5" t="s">
        <v>544</v>
      </c>
      <c r="C5">
        <v>10</v>
      </c>
    </row>
    <row r="6" spans="1:3">
      <c r="A6" s="17" t="s">
        <v>573</v>
      </c>
      <c r="B6" t="s">
        <v>561</v>
      </c>
      <c r="C6">
        <v>20</v>
      </c>
    </row>
    <row r="7" spans="1:3">
      <c r="A7" s="17" t="s">
        <v>574</v>
      </c>
      <c r="B7" t="s">
        <v>544</v>
      </c>
      <c r="C7">
        <v>10</v>
      </c>
    </row>
    <row r="8" spans="1:3">
      <c r="A8" s="17" t="s">
        <v>575</v>
      </c>
      <c r="B8" t="s">
        <v>576</v>
      </c>
      <c r="C8">
        <v>60</v>
      </c>
    </row>
    <row r="9" spans="1:3">
      <c r="A9" s="15" t="s">
        <v>577</v>
      </c>
      <c r="B9" t="s">
        <v>576</v>
      </c>
      <c r="C9">
        <v>15</v>
      </c>
    </row>
    <row r="10" spans="1:3">
      <c r="A10" s="17" t="s">
        <v>578</v>
      </c>
      <c r="C10">
        <v>3</v>
      </c>
    </row>
    <row r="11" spans="1:3">
      <c r="A11" s="25" t="s">
        <v>641</v>
      </c>
      <c r="C11">
        <v>28</v>
      </c>
    </row>
    <row r="12" spans="1:3">
      <c r="A12" s="25" t="s">
        <v>642</v>
      </c>
      <c r="C12">
        <v>7</v>
      </c>
    </row>
    <row r="13" spans="1:3">
      <c r="A13" s="40" t="s">
        <v>856</v>
      </c>
      <c r="B13" t="s">
        <v>544</v>
      </c>
      <c r="C13">
        <v>1</v>
      </c>
    </row>
    <row r="14" spans="1:3">
      <c r="A14" s="40" t="s">
        <v>857</v>
      </c>
      <c r="B14" s="38" t="s">
        <v>544</v>
      </c>
      <c r="C14">
        <v>20</v>
      </c>
    </row>
    <row r="15" spans="1:3">
      <c r="A15" s="40" t="s">
        <v>856</v>
      </c>
      <c r="B15" s="38" t="s">
        <v>561</v>
      </c>
      <c r="C15">
        <v>100</v>
      </c>
    </row>
    <row r="16" spans="1:3">
      <c r="A16" s="40" t="s">
        <v>858</v>
      </c>
      <c r="B16" s="38" t="s">
        <v>544</v>
      </c>
      <c r="C16">
        <v>30</v>
      </c>
    </row>
    <row r="17" spans="1:3">
      <c r="A17" s="40" t="s">
        <v>859</v>
      </c>
      <c r="B17" s="38" t="s">
        <v>544</v>
      </c>
      <c r="C17">
        <v>20</v>
      </c>
    </row>
    <row r="18" spans="1:3">
      <c r="A18" s="40" t="s">
        <v>860</v>
      </c>
      <c r="B18" s="38" t="s">
        <v>544</v>
      </c>
      <c r="C18">
        <v>10</v>
      </c>
    </row>
    <row r="19" spans="1:3">
      <c r="A19" s="40" t="s">
        <v>424</v>
      </c>
      <c r="B19" s="38" t="s">
        <v>544</v>
      </c>
      <c r="C19">
        <v>3</v>
      </c>
    </row>
    <row r="20" spans="1:3">
      <c r="A20" s="40" t="s">
        <v>862</v>
      </c>
      <c r="B20" s="38" t="s">
        <v>561</v>
      </c>
      <c r="C20">
        <v>20</v>
      </c>
    </row>
    <row r="21" spans="1:3">
      <c r="A21" s="48" t="s">
        <v>954</v>
      </c>
      <c r="B21" s="38" t="s">
        <v>544</v>
      </c>
      <c r="C21" s="34">
        <v>20</v>
      </c>
    </row>
    <row r="22" spans="1:3">
      <c r="A22" s="48" t="s">
        <v>955</v>
      </c>
      <c r="B22" s="38" t="s">
        <v>544</v>
      </c>
      <c r="C22" s="34">
        <v>35</v>
      </c>
    </row>
    <row r="23" spans="1:3">
      <c r="A23" s="48" t="s">
        <v>956</v>
      </c>
      <c r="B23" s="38" t="s">
        <v>544</v>
      </c>
      <c r="C23" s="34">
        <v>50</v>
      </c>
    </row>
    <row r="24" spans="1:3">
      <c r="A24" s="48" t="s">
        <v>957</v>
      </c>
      <c r="B24" s="38" t="s">
        <v>544</v>
      </c>
      <c r="C24" s="34">
        <v>50</v>
      </c>
    </row>
    <row r="25" spans="1:3">
      <c r="A25" s="48" t="s">
        <v>958</v>
      </c>
      <c r="B25" s="38" t="s">
        <v>544</v>
      </c>
      <c r="C25" s="34">
        <v>23</v>
      </c>
    </row>
    <row r="26" spans="1:3">
      <c r="A26" s="48" t="s">
        <v>959</v>
      </c>
      <c r="B26" s="38" t="s">
        <v>544</v>
      </c>
      <c r="C26" s="34">
        <v>30</v>
      </c>
    </row>
    <row r="27" spans="1:3">
      <c r="A27" s="48" t="s">
        <v>958</v>
      </c>
      <c r="B27" s="38" t="s">
        <v>544</v>
      </c>
      <c r="C27" s="34">
        <v>30</v>
      </c>
    </row>
    <row r="28" spans="1:3">
      <c r="A28" s="48" t="s">
        <v>957</v>
      </c>
      <c r="B28" s="38" t="s">
        <v>544</v>
      </c>
      <c r="C28" s="34">
        <v>20</v>
      </c>
    </row>
    <row r="29" spans="1:3">
      <c r="A29" s="48" t="s">
        <v>960</v>
      </c>
      <c r="B29" s="38" t="s">
        <v>544</v>
      </c>
      <c r="C29" s="34">
        <v>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613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582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B22"/>
  <sheetViews>
    <sheetView workbookViewId="0">
      <selection activeCell="E19" sqref="E19"/>
    </sheetView>
  </sheetViews>
  <sheetFormatPr defaultRowHeight="13.8"/>
  <cols>
    <col min="1" max="1" width="15.296875" customWidth="1"/>
    <col min="2" max="2" width="28.69921875" customWidth="1"/>
  </cols>
  <sheetData>
    <row r="1" spans="1:2">
      <c r="A1" s="63" t="s">
        <v>0</v>
      </c>
      <c r="B1" s="63"/>
    </row>
    <row r="2" spans="1:2">
      <c r="A2" s="4" t="s">
        <v>169</v>
      </c>
      <c r="B2" s="4" t="s">
        <v>187</v>
      </c>
    </row>
    <row r="3" spans="1:2">
      <c r="B3" t="s">
        <v>1</v>
      </c>
    </row>
    <row r="4" spans="1:2">
      <c r="B4" t="s">
        <v>2</v>
      </c>
    </row>
    <row r="5" spans="1:2">
      <c r="B5" t="s">
        <v>3</v>
      </c>
    </row>
    <row r="6" spans="1:2">
      <c r="B6" t="s">
        <v>10</v>
      </c>
    </row>
    <row r="7" spans="1:2">
      <c r="B7" t="s">
        <v>11</v>
      </c>
    </row>
    <row r="8" spans="1:2">
      <c r="B8" t="s">
        <v>53</v>
      </c>
    </row>
    <row r="9" spans="1:2">
      <c r="B9" t="s">
        <v>54</v>
      </c>
    </row>
    <row r="10" spans="1:2">
      <c r="B10" t="s">
        <v>60</v>
      </c>
    </row>
    <row r="11" spans="1:2">
      <c r="B11" t="s">
        <v>76</v>
      </c>
    </row>
    <row r="12" spans="1:2">
      <c r="A12" t="s">
        <v>190</v>
      </c>
      <c r="B12" t="s">
        <v>189</v>
      </c>
    </row>
    <row r="13" spans="1:2">
      <c r="A13" t="s">
        <v>191</v>
      </c>
      <c r="B13" t="s">
        <v>192</v>
      </c>
    </row>
    <row r="14" spans="1:2">
      <c r="A14" t="s">
        <v>193</v>
      </c>
      <c r="B14" t="s">
        <v>194</v>
      </c>
    </row>
    <row r="15" spans="1:2">
      <c r="A15" t="s">
        <v>195</v>
      </c>
      <c r="B15" t="s">
        <v>196</v>
      </c>
    </row>
    <row r="16" spans="1:2">
      <c r="A16" t="s">
        <v>197</v>
      </c>
      <c r="B16" t="s">
        <v>198</v>
      </c>
    </row>
    <row r="17" spans="1:2">
      <c r="A17" t="s">
        <v>199</v>
      </c>
      <c r="B17" t="s">
        <v>200</v>
      </c>
    </row>
    <row r="18" spans="1:2">
      <c r="A18" t="s">
        <v>201</v>
      </c>
      <c r="B18" t="s">
        <v>202</v>
      </c>
    </row>
    <row r="19" spans="1:2">
      <c r="A19" s="1" t="s">
        <v>204</v>
      </c>
      <c r="B19" t="s">
        <v>203</v>
      </c>
    </row>
    <row r="20" spans="1:2">
      <c r="A20" t="s">
        <v>205</v>
      </c>
      <c r="B20" t="s">
        <v>206</v>
      </c>
    </row>
    <row r="21" spans="1:2">
      <c r="B21" t="s">
        <v>7</v>
      </c>
    </row>
    <row r="22" spans="1:2">
      <c r="B22" t="s">
        <v>62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423</v>
      </c>
    </row>
    <row r="2" spans="1:2">
      <c r="A2" s="7" t="s">
        <v>424</v>
      </c>
    </row>
    <row r="3" spans="1:2">
      <c r="A3" s="7" t="s">
        <v>425</v>
      </c>
    </row>
    <row r="4" spans="1:2">
      <c r="A4" s="7" t="s">
        <v>426</v>
      </c>
    </row>
    <row r="5" spans="1:2">
      <c r="A5" s="7" t="s">
        <v>427</v>
      </c>
    </row>
    <row r="6" spans="1:2">
      <c r="A6" s="7" t="s">
        <v>428</v>
      </c>
    </row>
    <row r="7" spans="1:2">
      <c r="A7" s="7" t="s">
        <v>429</v>
      </c>
    </row>
    <row r="8" spans="1:2">
      <c r="A8" s="7" t="s">
        <v>426</v>
      </c>
    </row>
    <row r="9" spans="1:2">
      <c r="A9" s="7" t="s">
        <v>430</v>
      </c>
    </row>
    <row r="10" spans="1:2">
      <c r="A10" s="7" t="s">
        <v>431</v>
      </c>
    </row>
    <row r="11" spans="1:2">
      <c r="A11" s="7" t="s">
        <v>424</v>
      </c>
    </row>
    <row r="12" spans="1:2">
      <c r="A12" s="7" t="s">
        <v>432</v>
      </c>
    </row>
    <row r="13" spans="1:2">
      <c r="A13" s="7" t="s">
        <v>424</v>
      </c>
    </row>
    <row r="14" spans="1:2">
      <c r="A14" s="7" t="s">
        <v>433</v>
      </c>
    </row>
    <row r="15" spans="1:2">
      <c r="A15" s="48" t="s">
        <v>961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4"/>
  <sheetViews>
    <sheetView workbookViewId="0">
      <selection activeCell="I38" sqref="I3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551</v>
      </c>
    </row>
    <row r="2" spans="1:2">
      <c r="A2" t="s">
        <v>65</v>
      </c>
    </row>
    <row r="3" spans="1:2">
      <c r="A3" t="s">
        <v>550</v>
      </c>
      <c r="B3">
        <v>7</v>
      </c>
    </row>
    <row r="4" spans="1:2">
      <c r="A4" t="s">
        <v>552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63" t="s">
        <v>336</v>
      </c>
      <c r="B1" s="63"/>
      <c r="C1" s="63"/>
      <c r="D1" s="63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419</v>
      </c>
      <c r="B4" s="29" t="s">
        <v>422</v>
      </c>
      <c r="C4" s="29" t="s">
        <v>345</v>
      </c>
      <c r="D4" s="29">
        <v>1206</v>
      </c>
    </row>
    <row r="5" spans="1:4">
      <c r="A5" s="29" t="s">
        <v>416</v>
      </c>
      <c r="B5" s="29" t="s">
        <v>351</v>
      </c>
      <c r="C5" s="29" t="s">
        <v>345</v>
      </c>
      <c r="D5" s="29">
        <v>1206</v>
      </c>
    </row>
    <row r="6" spans="1:4">
      <c r="A6" s="29" t="s">
        <v>418</v>
      </c>
      <c r="B6" s="29" t="s">
        <v>421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415</v>
      </c>
      <c r="B10" s="29" t="s">
        <v>420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417</v>
      </c>
      <c r="B12" s="29" t="s">
        <v>421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64" t="s">
        <v>482</v>
      </c>
      <c r="B1" s="64"/>
      <c r="C1" s="64"/>
      <c r="D1" s="64"/>
      <c r="E1" s="64"/>
    </row>
    <row r="2" spans="1:5">
      <c r="A2" s="16" t="s">
        <v>483</v>
      </c>
      <c r="B2" s="16" t="s">
        <v>484</v>
      </c>
      <c r="C2" s="16" t="s">
        <v>990</v>
      </c>
      <c r="D2" s="16" t="s">
        <v>991</v>
      </c>
      <c r="E2" s="16" t="s">
        <v>485</v>
      </c>
    </row>
    <row r="3" spans="1:5">
      <c r="A3" s="7" t="s">
        <v>439</v>
      </c>
      <c r="B3">
        <v>220</v>
      </c>
      <c r="E3" s="5" t="s">
        <v>178</v>
      </c>
    </row>
    <row r="4" spans="1:5">
      <c r="A4" s="8" t="s">
        <v>460</v>
      </c>
      <c r="B4">
        <v>2700</v>
      </c>
      <c r="E4" s="5" t="s">
        <v>178</v>
      </c>
    </row>
    <row r="5" spans="1:5">
      <c r="A5" s="8" t="s">
        <v>474</v>
      </c>
      <c r="B5">
        <v>220</v>
      </c>
      <c r="E5" s="5" t="s">
        <v>178</v>
      </c>
    </row>
    <row r="6" spans="1:5">
      <c r="A6" s="7" t="s">
        <v>439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863</v>
      </c>
      <c r="B1" s="10" t="s">
        <v>542</v>
      </c>
      <c r="C1" s="10" t="s">
        <v>610</v>
      </c>
    </row>
    <row r="2" spans="1:3">
      <c r="A2" t="s">
        <v>864</v>
      </c>
      <c r="B2" t="s">
        <v>544</v>
      </c>
      <c r="C2">
        <v>3</v>
      </c>
    </row>
    <row r="3" spans="1:3">
      <c r="A3" t="s">
        <v>865</v>
      </c>
      <c r="B3" s="38" t="s">
        <v>544</v>
      </c>
      <c r="C3">
        <v>15</v>
      </c>
    </row>
    <row r="4" spans="1:3">
      <c r="A4" t="s">
        <v>866</v>
      </c>
      <c r="B4" s="38" t="s">
        <v>544</v>
      </c>
      <c r="C4">
        <v>2</v>
      </c>
    </row>
    <row r="5" spans="1:3">
      <c r="A5" t="s">
        <v>867</v>
      </c>
      <c r="B5" s="38" t="s">
        <v>544</v>
      </c>
      <c r="C5">
        <v>10</v>
      </c>
    </row>
    <row r="6" spans="1:3">
      <c r="A6" t="s">
        <v>868</v>
      </c>
      <c r="B6" s="38" t="s">
        <v>544</v>
      </c>
      <c r="C6">
        <v>8</v>
      </c>
    </row>
    <row r="7" spans="1:3">
      <c r="A7" t="s">
        <v>869</v>
      </c>
      <c r="B7" s="38" t="s">
        <v>544</v>
      </c>
      <c r="C7">
        <v>5</v>
      </c>
    </row>
    <row r="8" spans="1:3">
      <c r="A8" t="s">
        <v>870</v>
      </c>
      <c r="B8" s="38" t="s">
        <v>544</v>
      </c>
      <c r="C8">
        <v>9</v>
      </c>
    </row>
    <row r="9" spans="1:3">
      <c r="A9" t="s">
        <v>869</v>
      </c>
      <c r="B9" s="38" t="s">
        <v>544</v>
      </c>
      <c r="C9">
        <v>2</v>
      </c>
    </row>
    <row r="10" spans="1:3">
      <c r="A10" t="s">
        <v>871</v>
      </c>
      <c r="B10" s="38" t="s">
        <v>544</v>
      </c>
      <c r="C10">
        <v>2</v>
      </c>
    </row>
    <row r="11" spans="1:3">
      <c r="A11" t="s">
        <v>872</v>
      </c>
      <c r="B11" s="38" t="s">
        <v>544</v>
      </c>
      <c r="C11">
        <v>4</v>
      </c>
    </row>
    <row r="12" spans="1:3">
      <c r="A12" t="s">
        <v>873</v>
      </c>
      <c r="B12" s="38" t="s">
        <v>544</v>
      </c>
      <c r="C12">
        <v>8</v>
      </c>
    </row>
    <row r="13" spans="1:3">
      <c r="A13" t="s">
        <v>874</v>
      </c>
      <c r="B13" s="38" t="s">
        <v>544</v>
      </c>
      <c r="C13">
        <v>8</v>
      </c>
    </row>
    <row r="14" spans="1:3">
      <c r="A14" t="s">
        <v>875</v>
      </c>
      <c r="B14" s="38" t="s">
        <v>544</v>
      </c>
      <c r="C14">
        <v>7</v>
      </c>
    </row>
    <row r="15" spans="1:3">
      <c r="A15" t="s">
        <v>876</v>
      </c>
      <c r="B15" s="38" t="s">
        <v>544</v>
      </c>
      <c r="C15">
        <v>5</v>
      </c>
    </row>
    <row r="16" spans="1:3">
      <c r="A16" t="s">
        <v>877</v>
      </c>
      <c r="B16" s="38" t="s">
        <v>544</v>
      </c>
      <c r="C16">
        <v>2</v>
      </c>
    </row>
    <row r="17" spans="1:3">
      <c r="A17" t="s">
        <v>878</v>
      </c>
      <c r="B17" s="38" t="s">
        <v>544</v>
      </c>
      <c r="C17">
        <v>6</v>
      </c>
    </row>
    <row r="18" spans="1:3">
      <c r="A18" t="s">
        <v>870</v>
      </c>
      <c r="B18" s="38" t="s">
        <v>544</v>
      </c>
      <c r="C18">
        <v>1</v>
      </c>
    </row>
    <row r="19" spans="1:3">
      <c r="A19" t="s">
        <v>879</v>
      </c>
      <c r="B19" s="38" t="s">
        <v>544</v>
      </c>
      <c r="C19">
        <v>2</v>
      </c>
    </row>
    <row r="20" spans="1:3">
      <c r="A20" t="s">
        <v>880</v>
      </c>
      <c r="B20" s="38" t="s">
        <v>544</v>
      </c>
      <c r="C20">
        <v>1</v>
      </c>
    </row>
    <row r="21" spans="1:3">
      <c r="A21" t="s">
        <v>881</v>
      </c>
      <c r="B21" s="38" t="s">
        <v>544</v>
      </c>
      <c r="C21">
        <v>8</v>
      </c>
    </row>
    <row r="22" spans="1:3">
      <c r="A22" t="s">
        <v>882</v>
      </c>
      <c r="B22" s="38" t="s">
        <v>544</v>
      </c>
      <c r="C22">
        <v>5</v>
      </c>
    </row>
    <row r="23" spans="1:3">
      <c r="A23" t="s">
        <v>883</v>
      </c>
      <c r="B23" s="38" t="s">
        <v>544</v>
      </c>
      <c r="C23">
        <v>10</v>
      </c>
    </row>
    <row r="24" spans="1:3">
      <c r="A24" t="s">
        <v>884</v>
      </c>
      <c r="B24" s="38" t="s">
        <v>544</v>
      </c>
      <c r="C24">
        <v>6</v>
      </c>
    </row>
    <row r="25" spans="1:3">
      <c r="A25" t="s">
        <v>885</v>
      </c>
      <c r="B25" s="38" t="s">
        <v>544</v>
      </c>
      <c r="C25">
        <v>10</v>
      </c>
    </row>
    <row r="26" spans="1:3">
      <c r="A26" s="34" t="s">
        <v>964</v>
      </c>
      <c r="B26" s="38" t="s">
        <v>544</v>
      </c>
      <c r="C26" s="34">
        <v>39</v>
      </c>
    </row>
    <row r="27" spans="1:3">
      <c r="A27" s="34" t="s">
        <v>965</v>
      </c>
      <c r="B27" s="38" t="s">
        <v>544</v>
      </c>
      <c r="C27" s="34">
        <v>4</v>
      </c>
    </row>
    <row r="28" spans="1:3">
      <c r="A28" s="34" t="s">
        <v>966</v>
      </c>
      <c r="B28" s="38" t="s">
        <v>544</v>
      </c>
      <c r="C28" s="34">
        <v>1</v>
      </c>
    </row>
    <row r="29" spans="1:3">
      <c r="A29" s="34" t="s">
        <v>967</v>
      </c>
      <c r="B29" s="38" t="s">
        <v>544</v>
      </c>
      <c r="C29" s="34">
        <v>3</v>
      </c>
    </row>
    <row r="30" spans="1:3">
      <c r="A30" s="34" t="s">
        <v>968</v>
      </c>
      <c r="B30" s="38" t="s">
        <v>544</v>
      </c>
      <c r="C30" s="34">
        <v>10</v>
      </c>
    </row>
    <row r="31" spans="1:3">
      <c r="A31" s="34" t="s">
        <v>969</v>
      </c>
      <c r="B31" s="38" t="s">
        <v>544</v>
      </c>
      <c r="C31" s="34">
        <v>50</v>
      </c>
    </row>
    <row r="32" spans="1:3">
      <c r="A32" s="34" t="s">
        <v>970</v>
      </c>
      <c r="B32" s="38" t="s">
        <v>544</v>
      </c>
      <c r="C32" s="34">
        <v>1</v>
      </c>
    </row>
    <row r="33" spans="1:3">
      <c r="A33" s="34" t="s">
        <v>971</v>
      </c>
      <c r="B33" s="38" t="s">
        <v>544</v>
      </c>
      <c r="C33" s="34">
        <v>37</v>
      </c>
    </row>
    <row r="34" spans="1:3">
      <c r="A34" s="34" t="s">
        <v>972</v>
      </c>
      <c r="B34" s="38" t="s">
        <v>544</v>
      </c>
      <c r="C34" s="34">
        <v>1</v>
      </c>
    </row>
    <row r="35" spans="1:3">
      <c r="A35" s="34" t="s">
        <v>973</v>
      </c>
      <c r="B35" s="38" t="s">
        <v>544</v>
      </c>
      <c r="C35" s="34">
        <v>50</v>
      </c>
    </row>
    <row r="36" spans="1:3">
      <c r="A36" s="34" t="s">
        <v>974</v>
      </c>
      <c r="B36" s="38" t="s">
        <v>544</v>
      </c>
      <c r="C36" s="34">
        <v>8</v>
      </c>
    </row>
    <row r="37" spans="1:3">
      <c r="A37" s="34" t="s">
        <v>975</v>
      </c>
      <c r="B37" s="38" t="s">
        <v>544</v>
      </c>
      <c r="C37" s="34">
        <v>8</v>
      </c>
    </row>
    <row r="38" spans="1:3">
      <c r="A38" s="34" t="s">
        <v>976</v>
      </c>
      <c r="B38" s="38" t="s">
        <v>544</v>
      </c>
      <c r="C38" s="34">
        <v>6</v>
      </c>
    </row>
    <row r="39" spans="1:3">
      <c r="A39" s="34" t="s">
        <v>977</v>
      </c>
      <c r="B39" s="38" t="s">
        <v>544</v>
      </c>
      <c r="C39" s="34">
        <v>20</v>
      </c>
    </row>
    <row r="40" spans="1:3">
      <c r="A40" s="34" t="s">
        <v>978</v>
      </c>
      <c r="B40" s="38" t="s">
        <v>544</v>
      </c>
      <c r="C40" s="34">
        <v>6</v>
      </c>
    </row>
    <row r="41" spans="1:3">
      <c r="A41" s="34" t="s">
        <v>979</v>
      </c>
      <c r="B41" s="38" t="s">
        <v>544</v>
      </c>
      <c r="C41" s="34">
        <v>10</v>
      </c>
    </row>
    <row r="42" spans="1:3">
      <c r="A42" s="34" t="s">
        <v>980</v>
      </c>
      <c r="B42" s="38" t="s">
        <v>544</v>
      </c>
      <c r="C42" s="34">
        <v>16</v>
      </c>
    </row>
    <row r="43" spans="1:3">
      <c r="A43" s="34" t="s">
        <v>981</v>
      </c>
      <c r="B43" s="38" t="s">
        <v>544</v>
      </c>
      <c r="C43" s="34">
        <v>9</v>
      </c>
    </row>
    <row r="44" spans="1:3">
      <c r="A44" s="34" t="s">
        <v>982</v>
      </c>
      <c r="B44" s="38" t="s">
        <v>544</v>
      </c>
      <c r="C44" s="34">
        <v>15</v>
      </c>
    </row>
    <row r="45" spans="1:3">
      <c r="A45" s="34" t="s">
        <v>983</v>
      </c>
      <c r="B45" s="38" t="s">
        <v>544</v>
      </c>
      <c r="C45" s="34">
        <v>9</v>
      </c>
    </row>
    <row r="46" spans="1:3">
      <c r="A46" s="34" t="s">
        <v>984</v>
      </c>
      <c r="B46" s="38" t="s">
        <v>544</v>
      </c>
      <c r="C46" s="34">
        <v>7</v>
      </c>
    </row>
    <row r="47" spans="1:3">
      <c r="A47" s="34" t="s">
        <v>985</v>
      </c>
      <c r="B47" s="38" t="s">
        <v>544</v>
      </c>
      <c r="C47" s="34">
        <v>8</v>
      </c>
    </row>
    <row r="48" spans="1:3">
      <c r="A48" s="34" t="s">
        <v>986</v>
      </c>
      <c r="B48" s="38" t="s">
        <v>544</v>
      </c>
      <c r="C48" s="34">
        <v>8</v>
      </c>
    </row>
    <row r="49" spans="1:3">
      <c r="A49" s="34" t="s">
        <v>987</v>
      </c>
      <c r="B49" s="38" t="s">
        <v>544</v>
      </c>
      <c r="C49" s="34">
        <v>15</v>
      </c>
    </row>
    <row r="50" spans="1:3">
      <c r="A50" s="34" t="s">
        <v>988</v>
      </c>
      <c r="B50" s="38" t="s">
        <v>544</v>
      </c>
      <c r="C50" s="34">
        <v>2</v>
      </c>
    </row>
    <row r="51" spans="1:3">
      <c r="A51" s="34" t="s">
        <v>989</v>
      </c>
      <c r="B51" s="38" t="s">
        <v>544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35"/>
  <sheetViews>
    <sheetView workbookViewId="0">
      <selection activeCell="K28" sqref="K28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612</v>
      </c>
      <c r="B1" t="s">
        <v>337</v>
      </c>
      <c r="C1" t="s">
        <v>614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2:3">
      <c r="B33" t="s">
        <v>63</v>
      </c>
    </row>
    <row r="34" spans="2:3">
      <c r="B34" t="s">
        <v>360</v>
      </c>
    </row>
    <row r="35" spans="2:3">
      <c r="B35" t="s">
        <v>861</v>
      </c>
      <c r="C3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2026-01-09T00:53:20Z</dcterms:modified>
</cp:coreProperties>
</file>